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chaud\Downloads\"/>
    </mc:Choice>
  </mc:AlternateContent>
  <xr:revisionPtr revIDLastSave="0" documentId="13_ncr:1_{CA89D54B-B8C7-467B-ABE7-B67C6653F899}" xr6:coauthVersionLast="47" xr6:coauthVersionMax="47" xr10:uidLastSave="{00000000-0000-0000-0000-000000000000}"/>
  <bookViews>
    <workbookView xWindow="-108" yWindow="-108" windowWidth="23256" windowHeight="12456" tabRatio="958" activeTab="7" xr2:uid="{00000000-000D-0000-FFFF-FFFF00000000}"/>
  </bookViews>
  <sheets>
    <sheet name="Sales By Category" sheetId="2" r:id="rId1"/>
    <sheet name="Sales By Year" sheetId="4" r:id="rId2"/>
    <sheet name="Sales By Month" sheetId="5" r:id="rId3"/>
    <sheet name="Top 3 customer" sheetId="6" r:id="rId4"/>
    <sheet name="Map Chart" sheetId="9" r:id="rId5"/>
    <sheet name="Main shhet" sheetId="1" r:id="rId6"/>
    <sheet name="Customer Count" sheetId="11" r:id="rId7"/>
    <sheet name="Dashboard" sheetId="13" r:id="rId8"/>
  </sheets>
  <definedNames>
    <definedName name="_xlchart.v2.0" hidden="1">'Sales By Category'!$E$4:$E$15</definedName>
    <definedName name="_xlchart.v2.1" hidden="1">'Sales By Category'!$F$4:$F$15</definedName>
    <definedName name="_xlchart.v2.12" hidden="1">'Sales By Category'!$E$4:$E$15</definedName>
    <definedName name="_xlchart.v2.13" hidden="1">'Sales By Category'!$F$4:$F$15</definedName>
    <definedName name="_xlchart.v2.6" hidden="1">'Sales By Category'!$E$4:$E$15</definedName>
    <definedName name="_xlchart.v2.7" hidden="1">'Sales By Category'!$F$4:$F$15</definedName>
    <definedName name="_xlchart.v5.10" hidden="1">'Map Chart'!$F$3</definedName>
    <definedName name="_xlchart.v5.11" hidden="1">'Map Chart'!$F$4:$F$13</definedName>
    <definedName name="_xlchart.v5.2" hidden="1">'Map Chart'!$E$3</definedName>
    <definedName name="_xlchart.v5.3" hidden="1">'Map Chart'!$E$4:$E$13</definedName>
    <definedName name="_xlchart.v5.4" hidden="1">'Map Chart'!$F$3</definedName>
    <definedName name="_xlchart.v5.5" hidden="1">'Map Chart'!$F$4:$F$13</definedName>
    <definedName name="_xlchart.v5.8" hidden="1">'Map Chart'!$E$3</definedName>
    <definedName name="_xlchart.v5.9" hidden="1">'Map Chart'!$E$4:$E$13</definedName>
    <definedName name="Slicer_Category">#N/A</definedName>
    <definedName name="Slicer_Year">#N/A</definedName>
  </definedNames>
  <calcPr calcId="181029"/>
  <pivotCaches>
    <pivotCache cacheId="22" r:id="rId9"/>
    <pivotCache cacheId="2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9" l="1"/>
  <c r="F5" i="9"/>
  <c r="E6" i="9"/>
  <c r="F6" i="9"/>
  <c r="E7" i="9"/>
  <c r="F7" i="9"/>
  <c r="E8" i="9"/>
  <c r="F8" i="9"/>
  <c r="E9" i="9"/>
  <c r="F9" i="9"/>
  <c r="E10" i="9"/>
  <c r="F10" i="9"/>
  <c r="E11" i="9"/>
  <c r="F11" i="9"/>
  <c r="E12" i="9"/>
  <c r="F12" i="9"/>
  <c r="E13" i="9"/>
  <c r="F13" i="9"/>
  <c r="F4" i="9"/>
  <c r="E4" i="9"/>
  <c r="E5" i="6"/>
  <c r="F5" i="6"/>
  <c r="E6" i="6"/>
  <c r="F6" i="6"/>
  <c r="F4" i="6"/>
  <c r="E4" i="6"/>
  <c r="E5" i="2"/>
  <c r="F5" i="2"/>
  <c r="E6" i="2"/>
  <c r="F6" i="2"/>
  <c r="E7" i="2"/>
  <c r="F7" i="2"/>
  <c r="E8" i="2"/>
  <c r="F8" i="2"/>
  <c r="E9" i="2"/>
  <c r="F9" i="2"/>
  <c r="E10" i="2"/>
  <c r="F10" i="2"/>
  <c r="E11" i="2"/>
  <c r="F11" i="2"/>
  <c r="E12" i="2"/>
  <c r="F12" i="2"/>
  <c r="E13" i="2"/>
  <c r="F13" i="2"/>
  <c r="E14" i="2"/>
  <c r="F14" i="2"/>
  <c r="E15" i="2"/>
  <c r="F15" i="2"/>
  <c r="F4" i="2"/>
  <c r="E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alcChain>
</file>

<file path=xl/sharedStrings.xml><?xml version="1.0" encoding="utf-8"?>
<sst xmlns="http://schemas.openxmlformats.org/spreadsheetml/2006/main" count="5104" uniqueCount="80">
  <si>
    <t>Order Date</t>
  </si>
  <si>
    <t>Customer Name</t>
  </si>
  <si>
    <t>State</t>
  </si>
  <si>
    <t>Category</t>
  </si>
  <si>
    <t>Sub-Category</t>
  </si>
  <si>
    <t>Product Name</t>
  </si>
  <si>
    <t>Sales</t>
  </si>
  <si>
    <t>Quantity</t>
  </si>
  <si>
    <t>Profit</t>
  </si>
  <si>
    <t>Darrin Van Huff</t>
  </si>
  <si>
    <t>Tracy Blumstein</t>
  </si>
  <si>
    <t>Claire Gute</t>
  </si>
  <si>
    <t>Sean O'Donnell</t>
  </si>
  <si>
    <t>Harold Pawlan</t>
  </si>
  <si>
    <t>Brosina Hoffman</t>
  </si>
  <si>
    <t>Irene Maddox</t>
  </si>
  <si>
    <t>Andrew Allen</t>
  </si>
  <si>
    <t>Eric Hoffmann</t>
  </si>
  <si>
    <t>Ken Black</t>
  </si>
  <si>
    <t>California</t>
  </si>
  <si>
    <t>Texas</t>
  </si>
  <si>
    <t>Wisconsin</t>
  </si>
  <si>
    <t>Utah</t>
  </si>
  <si>
    <t>Washington</t>
  </si>
  <si>
    <t>Kentucky</t>
  </si>
  <si>
    <t>Florida</t>
  </si>
  <si>
    <t>Pennsylvania</t>
  </si>
  <si>
    <t>North Carolina</t>
  </si>
  <si>
    <t>Nebraska</t>
  </si>
  <si>
    <t>Technology</t>
  </si>
  <si>
    <t>Furniture</t>
  </si>
  <si>
    <t>Office Supplies</t>
  </si>
  <si>
    <t>Accessories</t>
  </si>
  <si>
    <t>Furnishings</t>
  </si>
  <si>
    <t>Art</t>
  </si>
  <si>
    <t>Tables</t>
  </si>
  <si>
    <t>Labels</t>
  </si>
  <si>
    <t>Bookcases</t>
  </si>
  <si>
    <t>Paper</t>
  </si>
  <si>
    <t>Binders</t>
  </si>
  <si>
    <t>Copiers</t>
  </si>
  <si>
    <t>Phones</t>
  </si>
  <si>
    <t>Chairs</t>
  </si>
  <si>
    <t>Storage</t>
  </si>
  <si>
    <t>USB Drive</t>
  </si>
  <si>
    <t>Desk Lamp</t>
  </si>
  <si>
    <t>Marker Set</t>
  </si>
  <si>
    <t>Sketch Pad</t>
  </si>
  <si>
    <t>Mouse</t>
  </si>
  <si>
    <t>Conference Table</t>
  </si>
  <si>
    <t>Shipping Labels</t>
  </si>
  <si>
    <t>Metal Bookcase</t>
  </si>
  <si>
    <t>Keyboard</t>
  </si>
  <si>
    <t>Premium Paper</t>
  </si>
  <si>
    <t>Ring Binder</t>
  </si>
  <si>
    <t>Office Clock</t>
  </si>
  <si>
    <t>Laser Copier</t>
  </si>
  <si>
    <t>IP Phone</t>
  </si>
  <si>
    <t>Executive Chair</t>
  </si>
  <si>
    <t>Round Table</t>
  </si>
  <si>
    <t>Wall Frame</t>
  </si>
  <si>
    <t>Office Copier</t>
  </si>
  <si>
    <t>Storage Box</t>
  </si>
  <si>
    <t>A4 Paper Pack</t>
  </si>
  <si>
    <t>Wood Bookcase</t>
  </si>
  <si>
    <t>Business Phone</t>
  </si>
  <si>
    <t>Work Table</t>
  </si>
  <si>
    <t>Mesh Office Chair</t>
  </si>
  <si>
    <t>File Cart</t>
  </si>
  <si>
    <t>Ergo Chair</t>
  </si>
  <si>
    <t>Address Labels</t>
  </si>
  <si>
    <t>View Binder</t>
  </si>
  <si>
    <t>Month</t>
  </si>
  <si>
    <t>Row Labels</t>
  </si>
  <si>
    <t>Grand Total</t>
  </si>
  <si>
    <t>Sum of Sales</t>
  </si>
  <si>
    <t>Year</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</si>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</sst>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0" fillId="0" borderId="0" xfId="0" applyFont="1"/>
    <xf numFmtId="0" fontId="1" fillId="0" borderId="1" xfId="0" applyFont="1" applyBorder="1" applyAlignment="1">
      <alignment horizontal="center" vertical="top"/>
    </xf>
    <xf numFmtId="0" fontId="2" fillId="0" borderId="0" xfId="0" applyFont="1"/>
    <xf numFmtId="2"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2" fillId="0" borderId="0" xfId="0" applyNumberFormat="1" applyFont="1"/>
    <xf numFmtId="1"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applyAlignment="1">
      <alignment horizontal="left"/>
    </xf>
  </cellXfs>
  <cellStyles count="1">
    <cellStyle name="Normal" xfId="0" builtinId="0"/>
  </cellStyles>
  <dxfs count="6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border outline="0">
        <bottom style="thin">
          <color auto="1"/>
        </bottom>
      </border>
    </dxf>
    <dxf>
      <numFmt numFmtId="2" formatCode="0.00"/>
    </dxf>
    <dxf>
      <font>
        <strike val="0"/>
        <outline val="0"/>
        <shadow val="0"/>
        <u val="none"/>
        <vertAlign val="baseline"/>
        <sz val="12"/>
        <color theme="1"/>
        <name val="Calibri"/>
        <family val="2"/>
        <scheme val="minor"/>
      </font>
      <numFmt numFmtId="164" formatCode="[$-F800]dddd\,\ mmmm\ dd\,\ yyyy"/>
    </dxf>
    <dxf>
      <font>
        <b val="0"/>
        <i val="0"/>
        <strike val="0"/>
        <condense val="0"/>
        <extend val="0"/>
        <outline val="0"/>
        <shadow val="0"/>
        <u val="none"/>
        <vertAlign val="baseline"/>
        <sz val="12"/>
        <color theme="1"/>
        <name val="Calibri"/>
        <family val="2"/>
        <scheme val="minor"/>
      </font>
      <numFmt numFmtId="1" formatCode="0"/>
    </dxf>
    <dxf>
      <font>
        <b val="0"/>
        <i val="0"/>
        <strike val="0"/>
        <condense val="0"/>
        <extend val="0"/>
        <outline val="0"/>
        <shadow val="0"/>
        <u val="none"/>
        <vertAlign val="baseline"/>
        <sz val="12"/>
        <color theme="1"/>
        <name val="Calibri"/>
        <family val="2"/>
        <scheme val="minor"/>
      </font>
      <numFmt numFmtId="164" formatCode="[$-F800]dddd\,\ mmmm\ dd\,\ yyyy"/>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bottom style="thin">
          <color auto="1"/>
        </bottom>
      </border>
    </dxf>
    <dxf>
      <border outline="0">
        <top style="thin">
          <color auto="1"/>
        </top>
      </border>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[sales_dataset_random_1000.xlsx]Sales By Year!PivotTable3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8601807878141"/>
          <c:y val="0.1702127659574468"/>
          <c:w val="0.69425382485342568"/>
          <c:h val="0.79669030732860524"/>
        </c:manualLayout>
      </c:layout>
      <c:lineChart>
        <c:grouping val="standard"/>
        <c:varyColors val="0"/>
        <c:ser>
          <c:idx val="0"/>
          <c:order val="0"/>
          <c:tx>
            <c:strRef>
              <c:f>'Sales By Year'!$B$3:$B$4</c:f>
              <c:strCache>
                <c:ptCount val="1"/>
                <c:pt idx="0">
                  <c:v>Furniture</c:v>
                </c:pt>
              </c:strCache>
            </c:strRef>
          </c:tx>
          <c:spPr>
            <a:ln w="28575" cap="rnd">
              <a:solidFill>
                <a:schemeClr val="accent1"/>
              </a:solidFill>
              <a:round/>
            </a:ln>
            <a:effectLst/>
          </c:spPr>
          <c:marker>
            <c:symbol val="none"/>
          </c:marker>
          <c:cat>
            <c:strRef>
              <c:f>'Sales By Year'!$A$5:$A$8</c:f>
              <c:strCache>
                <c:ptCount val="4"/>
                <c:pt idx="0">
                  <c:v>2014</c:v>
                </c:pt>
                <c:pt idx="1">
                  <c:v>2015</c:v>
                </c:pt>
                <c:pt idx="2">
                  <c:v>2016</c:v>
                </c:pt>
                <c:pt idx="3">
                  <c:v>2017</c:v>
                </c:pt>
              </c:strCache>
            </c:strRef>
          </c:cat>
          <c:val>
            <c:numRef>
              <c:f>'Sales By Year'!$B$5:$B$8</c:f>
              <c:numCache>
                <c:formatCode>General</c:formatCode>
                <c:ptCount val="4"/>
                <c:pt idx="0">
                  <c:v>-74.728999999999758</c:v>
                </c:pt>
                <c:pt idx="1">
                  <c:v>-3171.6647000000016</c:v>
                </c:pt>
                <c:pt idx="2">
                  <c:v>480.3531000000001</c:v>
                </c:pt>
                <c:pt idx="3">
                  <c:v>789.88680000000011</c:v>
                </c:pt>
              </c:numCache>
            </c:numRef>
          </c:val>
          <c:smooth val="0"/>
          <c:extLst>
            <c:ext xmlns:c16="http://schemas.microsoft.com/office/drawing/2014/chart" uri="{C3380CC4-5D6E-409C-BE32-E72D297353CC}">
              <c16:uniqueId val="{00000000-13C5-49F9-95BB-15BDF3208558}"/>
            </c:ext>
          </c:extLst>
        </c:ser>
        <c:ser>
          <c:idx val="1"/>
          <c:order val="1"/>
          <c:tx>
            <c:strRef>
              <c:f>'Sales By Year'!$C$3:$C$4</c:f>
              <c:strCache>
                <c:ptCount val="1"/>
                <c:pt idx="0">
                  <c:v>Office Supplies</c:v>
                </c:pt>
              </c:strCache>
            </c:strRef>
          </c:tx>
          <c:spPr>
            <a:ln w="28575" cap="rnd">
              <a:solidFill>
                <a:schemeClr val="accent2"/>
              </a:solidFill>
              <a:round/>
            </a:ln>
            <a:effectLst/>
          </c:spPr>
          <c:marker>
            <c:symbol val="none"/>
          </c:marker>
          <c:cat>
            <c:strRef>
              <c:f>'Sales By Year'!$A$5:$A$8</c:f>
              <c:strCache>
                <c:ptCount val="4"/>
                <c:pt idx="0">
                  <c:v>2014</c:v>
                </c:pt>
                <c:pt idx="1">
                  <c:v>2015</c:v>
                </c:pt>
                <c:pt idx="2">
                  <c:v>2016</c:v>
                </c:pt>
                <c:pt idx="3">
                  <c:v>2017</c:v>
                </c:pt>
              </c:strCache>
            </c:strRef>
          </c:cat>
          <c:val>
            <c:numRef>
              <c:f>'Sales By Year'!$C$5:$C$8</c:f>
              <c:numCache>
                <c:formatCode>General</c:formatCode>
                <c:ptCount val="4"/>
                <c:pt idx="0">
                  <c:v>-2099.6999999999998</c:v>
                </c:pt>
                <c:pt idx="1">
                  <c:v>-2054.4041000000002</c:v>
                </c:pt>
                <c:pt idx="2">
                  <c:v>-2137.1349999999998</c:v>
                </c:pt>
                <c:pt idx="3">
                  <c:v>1094.9366000000002</c:v>
                </c:pt>
              </c:numCache>
            </c:numRef>
          </c:val>
          <c:smooth val="0"/>
          <c:extLst>
            <c:ext xmlns:c16="http://schemas.microsoft.com/office/drawing/2014/chart" uri="{C3380CC4-5D6E-409C-BE32-E72D297353CC}">
              <c16:uniqueId val="{00000008-13C5-49F9-95BB-15BDF3208558}"/>
            </c:ext>
          </c:extLst>
        </c:ser>
        <c:ser>
          <c:idx val="2"/>
          <c:order val="2"/>
          <c:tx>
            <c:strRef>
              <c:f>'Sales By Year'!$D$3:$D$4</c:f>
              <c:strCache>
                <c:ptCount val="1"/>
                <c:pt idx="0">
                  <c:v>Technology</c:v>
                </c:pt>
              </c:strCache>
            </c:strRef>
          </c:tx>
          <c:spPr>
            <a:ln w="28575" cap="rnd">
              <a:solidFill>
                <a:schemeClr val="accent3"/>
              </a:solidFill>
              <a:round/>
            </a:ln>
            <a:effectLst/>
          </c:spPr>
          <c:marker>
            <c:symbol val="none"/>
          </c:marker>
          <c:cat>
            <c:strRef>
              <c:f>'Sales By Year'!$A$5:$A$8</c:f>
              <c:strCache>
                <c:ptCount val="4"/>
                <c:pt idx="0">
                  <c:v>2014</c:v>
                </c:pt>
                <c:pt idx="1">
                  <c:v>2015</c:v>
                </c:pt>
                <c:pt idx="2">
                  <c:v>2016</c:v>
                </c:pt>
                <c:pt idx="3">
                  <c:v>2017</c:v>
                </c:pt>
              </c:strCache>
            </c:strRef>
          </c:cat>
          <c:val>
            <c:numRef>
              <c:f>'Sales By Year'!$D$5:$D$8</c:f>
              <c:numCache>
                <c:formatCode>General</c:formatCode>
                <c:ptCount val="4"/>
                <c:pt idx="0">
                  <c:v>1460.4035000000001</c:v>
                </c:pt>
                <c:pt idx="1">
                  <c:v>-2567.6209999999996</c:v>
                </c:pt>
                <c:pt idx="2">
                  <c:v>-4716.1081000000013</c:v>
                </c:pt>
                <c:pt idx="3">
                  <c:v>-297.37880000000001</c:v>
                </c:pt>
              </c:numCache>
            </c:numRef>
          </c:val>
          <c:smooth val="0"/>
          <c:extLst>
            <c:ext xmlns:c16="http://schemas.microsoft.com/office/drawing/2014/chart" uri="{C3380CC4-5D6E-409C-BE32-E72D297353CC}">
              <c16:uniqueId val="{00000009-13C5-49F9-95BB-15BDF3208558}"/>
            </c:ext>
          </c:extLst>
        </c:ser>
        <c:dLbls>
          <c:showLegendKey val="0"/>
          <c:showVal val="0"/>
          <c:showCatName val="0"/>
          <c:showSerName val="0"/>
          <c:showPercent val="0"/>
          <c:showBubbleSize val="0"/>
        </c:dLbls>
        <c:smooth val="0"/>
        <c:axId val="1262825359"/>
        <c:axId val="1262825775"/>
      </c:lineChart>
      <c:catAx>
        <c:axId val="126282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25775"/>
        <c:crosses val="autoZero"/>
        <c:auto val="1"/>
        <c:lblAlgn val="ctr"/>
        <c:lblOffset val="100"/>
        <c:noMultiLvlLbl val="0"/>
      </c:catAx>
      <c:valAx>
        <c:axId val="126282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25359"/>
        <c:crosses val="autoZero"/>
        <c:crossBetween val="between"/>
      </c:valAx>
      <c:spPr>
        <a:noFill/>
        <a:ln>
          <a:noFill/>
        </a:ln>
        <a:effectLst/>
      </c:spPr>
    </c:plotArea>
    <c:legend>
      <c:legendPos val="r"/>
      <c:layout>
        <c:manualLayout>
          <c:xMode val="edge"/>
          <c:yMode val="edge"/>
          <c:x val="0.14178436438077854"/>
          <c:y val="2.2094525418365256E-2"/>
          <c:w val="0.70913976377952759"/>
          <c:h val="0.10474701079031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[sales_dataset_random_1000.xlsx]Sales By Month!PivotTable4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Month'!$B$3</c:f>
              <c:strCache>
                <c:ptCount val="1"/>
                <c:pt idx="0">
                  <c:v>Total</c:v>
                </c:pt>
              </c:strCache>
            </c:strRef>
          </c:tx>
          <c:spPr>
            <a:solidFill>
              <a:schemeClr val="accent1"/>
            </a:solidFill>
            <a:ln>
              <a:noFill/>
            </a:ln>
            <a:effectLst/>
          </c:spPr>
          <c:cat>
            <c:strRef>
              <c:f>'Sales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Month'!$B$4:$B$16</c:f>
              <c:numCache>
                <c:formatCode>General</c:formatCode>
                <c:ptCount val="12"/>
                <c:pt idx="0">
                  <c:v>57082.969999999994</c:v>
                </c:pt>
                <c:pt idx="1">
                  <c:v>53922.180000000015</c:v>
                </c:pt>
                <c:pt idx="2">
                  <c:v>53318.33</c:v>
                </c:pt>
                <c:pt idx="3">
                  <c:v>50855.229999999981</c:v>
                </c:pt>
                <c:pt idx="4">
                  <c:v>54618.639999999992</c:v>
                </c:pt>
                <c:pt idx="5">
                  <c:v>47980.63</c:v>
                </c:pt>
                <c:pt idx="6">
                  <c:v>52218.429999999993</c:v>
                </c:pt>
                <c:pt idx="7">
                  <c:v>55121.360000000008</c:v>
                </c:pt>
                <c:pt idx="8">
                  <c:v>61364.94999999999</c:v>
                </c:pt>
                <c:pt idx="9">
                  <c:v>45672.41</c:v>
                </c:pt>
                <c:pt idx="10">
                  <c:v>40264.459999999992</c:v>
                </c:pt>
                <c:pt idx="11">
                  <c:v>39177.549999999996</c:v>
                </c:pt>
              </c:numCache>
            </c:numRef>
          </c:val>
          <c:extLst>
            <c:ext xmlns:c16="http://schemas.microsoft.com/office/drawing/2014/chart" uri="{C3380CC4-5D6E-409C-BE32-E72D297353CC}">
              <c16:uniqueId val="{00000000-2CB7-45AB-91B4-63F624C33F49}"/>
            </c:ext>
          </c:extLst>
        </c:ser>
        <c:dLbls>
          <c:showLegendKey val="0"/>
          <c:showVal val="0"/>
          <c:showCatName val="0"/>
          <c:showSerName val="0"/>
          <c:showPercent val="0"/>
          <c:showBubbleSize val="0"/>
        </c:dLbls>
        <c:axId val="1405248735"/>
        <c:axId val="1405243327"/>
      </c:areaChart>
      <c:catAx>
        <c:axId val="140524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43327"/>
        <c:crosses val="autoZero"/>
        <c:auto val="1"/>
        <c:lblAlgn val="ctr"/>
        <c:lblOffset val="100"/>
        <c:noMultiLvlLbl val="0"/>
      </c:catAx>
      <c:valAx>
        <c:axId val="140524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487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3 customer'!$E$4:$E$6</c:f>
              <c:strCache>
                <c:ptCount val="3"/>
                <c:pt idx="0">
                  <c:v>Brosina Hoffman</c:v>
                </c:pt>
                <c:pt idx="1">
                  <c:v>Harold Pawlan</c:v>
                </c:pt>
                <c:pt idx="2">
                  <c:v>Andrew Allen</c:v>
                </c:pt>
              </c:strCache>
            </c:strRef>
          </c:cat>
          <c:val>
            <c:numRef>
              <c:f>'Top 3 customer'!$F$4:$F$6</c:f>
              <c:numCache>
                <c:formatCode>General</c:formatCode>
                <c:ptCount val="3"/>
                <c:pt idx="0">
                  <c:v>618.66269999999986</c:v>
                </c:pt>
                <c:pt idx="1">
                  <c:v>171.12429999999981</c:v>
                </c:pt>
                <c:pt idx="2">
                  <c:v>50.728300000000068</c:v>
                </c:pt>
              </c:numCache>
            </c:numRef>
          </c:val>
          <c:extLst>
            <c:ext xmlns:c16="http://schemas.microsoft.com/office/drawing/2014/chart" uri="{C3380CC4-5D6E-409C-BE32-E72D297353CC}">
              <c16:uniqueId val="{00000000-C12E-40D3-B87F-99F35EA256D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[sales_dataset_random_1000.xlsx]Customer Count!PivotTable10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Count'!$G$6</c:f>
              <c:strCache>
                <c:ptCount val="1"/>
                <c:pt idx="0">
                  <c:v>Total</c:v>
                </c:pt>
              </c:strCache>
            </c:strRef>
          </c:tx>
          <c:spPr>
            <a:solidFill>
              <a:schemeClr val="accent1"/>
            </a:solidFill>
            <a:ln>
              <a:noFill/>
            </a:ln>
            <a:effectLst/>
          </c:spPr>
          <c:invertIfNegative val="0"/>
          <c:cat>
            <c:strRef>
              <c:f>'Customer Count'!$F$7:$F$10</c:f>
              <c:strCache>
                <c:ptCount val="4"/>
                <c:pt idx="0">
                  <c:v>2014</c:v>
                </c:pt>
                <c:pt idx="1">
                  <c:v>2015</c:v>
                </c:pt>
                <c:pt idx="2">
                  <c:v>2016</c:v>
                </c:pt>
                <c:pt idx="3">
                  <c:v>2017</c:v>
                </c:pt>
              </c:strCache>
            </c:strRef>
          </c:cat>
          <c:val>
            <c:numRef>
              <c:f>'Customer Count'!$G$7:$G$10</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AC0F-48EF-8974-16B306D61297}"/>
            </c:ext>
          </c:extLst>
        </c:ser>
        <c:dLbls>
          <c:showLegendKey val="0"/>
          <c:showVal val="0"/>
          <c:showCatName val="0"/>
          <c:showSerName val="0"/>
          <c:showPercent val="0"/>
          <c:showBubbleSize val="0"/>
        </c:dLbls>
        <c:gapWidth val="219"/>
        <c:axId val="1501290623"/>
        <c:axId val="1501292703"/>
      </c:barChart>
      <c:catAx>
        <c:axId val="150129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92703"/>
        <c:crosses val="autoZero"/>
        <c:auto val="1"/>
        <c:lblAlgn val="ctr"/>
        <c:lblOffset val="100"/>
        <c:noMultiLvlLbl val="0"/>
      </c:catAx>
      <c:valAx>
        <c:axId val="150129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9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[sales_dataset_random_1000.xlsx]Sales By Year!PivotTable3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0920078997983"/>
          <c:y val="0.13711583924349882"/>
          <c:w val="0.69425382485342568"/>
          <c:h val="0.79669030732860524"/>
        </c:manualLayout>
      </c:layout>
      <c:lineChart>
        <c:grouping val="standard"/>
        <c:varyColors val="0"/>
        <c:ser>
          <c:idx val="0"/>
          <c:order val="0"/>
          <c:tx>
            <c:strRef>
              <c:f>'Sales By Year'!$B$3:$B$4</c:f>
              <c:strCache>
                <c:ptCount val="1"/>
                <c:pt idx="0">
                  <c:v>Furniture</c:v>
                </c:pt>
              </c:strCache>
            </c:strRef>
          </c:tx>
          <c:spPr>
            <a:ln w="38100" cap="rnd">
              <a:solidFill>
                <a:schemeClr val="accent1"/>
              </a:solidFill>
              <a:round/>
            </a:ln>
            <a:effectLst/>
          </c:spPr>
          <c:marker>
            <c:symbol val="circle"/>
            <c:size val="8"/>
            <c:spPr>
              <a:solidFill>
                <a:schemeClr val="accent1"/>
              </a:solidFill>
              <a:ln>
                <a:noFill/>
              </a:ln>
              <a:effectLst/>
            </c:spPr>
          </c:marker>
          <c:dLbls>
            <c:delete val="1"/>
          </c:dLbls>
          <c:cat>
            <c:strRef>
              <c:f>'Sales By Year'!$A$5:$A$8</c:f>
              <c:strCache>
                <c:ptCount val="4"/>
                <c:pt idx="0">
                  <c:v>2014</c:v>
                </c:pt>
                <c:pt idx="1">
                  <c:v>2015</c:v>
                </c:pt>
                <c:pt idx="2">
                  <c:v>2016</c:v>
                </c:pt>
                <c:pt idx="3">
                  <c:v>2017</c:v>
                </c:pt>
              </c:strCache>
            </c:strRef>
          </c:cat>
          <c:val>
            <c:numRef>
              <c:f>'Sales By Year'!$B$5:$B$8</c:f>
              <c:numCache>
                <c:formatCode>General</c:formatCode>
                <c:ptCount val="4"/>
                <c:pt idx="0">
                  <c:v>-74.728999999999758</c:v>
                </c:pt>
                <c:pt idx="1">
                  <c:v>-3171.6647000000016</c:v>
                </c:pt>
                <c:pt idx="2">
                  <c:v>480.3531000000001</c:v>
                </c:pt>
                <c:pt idx="3">
                  <c:v>789.88680000000011</c:v>
                </c:pt>
              </c:numCache>
            </c:numRef>
          </c:val>
          <c:smooth val="0"/>
          <c:extLst>
            <c:ext xmlns:c16="http://schemas.microsoft.com/office/drawing/2014/chart" uri="{C3380CC4-5D6E-409C-BE32-E72D297353CC}">
              <c16:uniqueId val="{00000000-63D1-4556-80C9-CF11783BC6EF}"/>
            </c:ext>
          </c:extLst>
        </c:ser>
        <c:ser>
          <c:idx val="1"/>
          <c:order val="1"/>
          <c:tx>
            <c:strRef>
              <c:f>'Sales By Year'!$C$3:$C$4</c:f>
              <c:strCache>
                <c:ptCount val="1"/>
                <c:pt idx="0">
                  <c:v>Office Supplies</c:v>
                </c:pt>
              </c:strCache>
            </c:strRef>
          </c:tx>
          <c:spPr>
            <a:ln w="38100" cap="rnd">
              <a:solidFill>
                <a:schemeClr val="accent2"/>
              </a:solidFill>
              <a:round/>
            </a:ln>
            <a:effectLst/>
          </c:spPr>
          <c:marker>
            <c:symbol val="circle"/>
            <c:size val="8"/>
            <c:spPr>
              <a:solidFill>
                <a:schemeClr val="accent2"/>
              </a:solidFill>
              <a:ln>
                <a:noFill/>
              </a:ln>
              <a:effectLst/>
            </c:spPr>
          </c:marker>
          <c:dLbls>
            <c:delete val="1"/>
          </c:dLbls>
          <c:cat>
            <c:strRef>
              <c:f>'Sales By Year'!$A$5:$A$8</c:f>
              <c:strCache>
                <c:ptCount val="4"/>
                <c:pt idx="0">
                  <c:v>2014</c:v>
                </c:pt>
                <c:pt idx="1">
                  <c:v>2015</c:v>
                </c:pt>
                <c:pt idx="2">
                  <c:v>2016</c:v>
                </c:pt>
                <c:pt idx="3">
                  <c:v>2017</c:v>
                </c:pt>
              </c:strCache>
            </c:strRef>
          </c:cat>
          <c:val>
            <c:numRef>
              <c:f>'Sales By Year'!$C$5:$C$8</c:f>
              <c:numCache>
                <c:formatCode>General</c:formatCode>
                <c:ptCount val="4"/>
                <c:pt idx="0">
                  <c:v>-2099.6999999999998</c:v>
                </c:pt>
                <c:pt idx="1">
                  <c:v>-2054.4041000000002</c:v>
                </c:pt>
                <c:pt idx="2">
                  <c:v>-2137.1349999999998</c:v>
                </c:pt>
                <c:pt idx="3">
                  <c:v>1094.9366000000002</c:v>
                </c:pt>
              </c:numCache>
            </c:numRef>
          </c:val>
          <c:smooth val="0"/>
          <c:extLst>
            <c:ext xmlns:c16="http://schemas.microsoft.com/office/drawing/2014/chart" uri="{C3380CC4-5D6E-409C-BE32-E72D297353CC}">
              <c16:uniqueId val="{00000008-63D1-4556-80C9-CF11783BC6EF}"/>
            </c:ext>
          </c:extLst>
        </c:ser>
        <c:ser>
          <c:idx val="2"/>
          <c:order val="2"/>
          <c:tx>
            <c:strRef>
              <c:f>'Sales By Year'!$D$3:$D$4</c:f>
              <c:strCache>
                <c:ptCount val="1"/>
                <c:pt idx="0">
                  <c:v>Technology</c:v>
                </c:pt>
              </c:strCache>
            </c:strRef>
          </c:tx>
          <c:spPr>
            <a:ln w="38100" cap="rnd">
              <a:solidFill>
                <a:schemeClr val="accent3"/>
              </a:solidFill>
              <a:round/>
            </a:ln>
            <a:effectLst/>
          </c:spPr>
          <c:marker>
            <c:symbol val="circle"/>
            <c:size val="8"/>
            <c:spPr>
              <a:solidFill>
                <a:schemeClr val="accent3"/>
              </a:solidFill>
              <a:ln>
                <a:noFill/>
              </a:ln>
              <a:effectLst/>
            </c:spPr>
          </c:marker>
          <c:dLbls>
            <c:delete val="1"/>
          </c:dLbls>
          <c:cat>
            <c:strRef>
              <c:f>'Sales By Year'!$A$5:$A$8</c:f>
              <c:strCache>
                <c:ptCount val="4"/>
                <c:pt idx="0">
                  <c:v>2014</c:v>
                </c:pt>
                <c:pt idx="1">
                  <c:v>2015</c:v>
                </c:pt>
                <c:pt idx="2">
                  <c:v>2016</c:v>
                </c:pt>
                <c:pt idx="3">
                  <c:v>2017</c:v>
                </c:pt>
              </c:strCache>
            </c:strRef>
          </c:cat>
          <c:val>
            <c:numRef>
              <c:f>'Sales By Year'!$D$5:$D$8</c:f>
              <c:numCache>
                <c:formatCode>General</c:formatCode>
                <c:ptCount val="4"/>
                <c:pt idx="0">
                  <c:v>1460.4035000000001</c:v>
                </c:pt>
                <c:pt idx="1">
                  <c:v>-2567.6209999999996</c:v>
                </c:pt>
                <c:pt idx="2">
                  <c:v>-4716.1081000000013</c:v>
                </c:pt>
                <c:pt idx="3">
                  <c:v>-297.37880000000001</c:v>
                </c:pt>
              </c:numCache>
            </c:numRef>
          </c:val>
          <c:smooth val="0"/>
          <c:extLst>
            <c:ext xmlns:c16="http://schemas.microsoft.com/office/drawing/2014/chart" uri="{C3380CC4-5D6E-409C-BE32-E72D297353CC}">
              <c16:uniqueId val="{00000009-63D1-4556-80C9-CF11783BC6EF}"/>
            </c:ext>
          </c:extLst>
        </c:ser>
        <c:dLbls>
          <c:dLblPos val="t"/>
          <c:showLegendKey val="0"/>
          <c:showVal val="1"/>
          <c:showCatName val="0"/>
          <c:showSerName val="0"/>
          <c:showPercent val="0"/>
          <c:showBubbleSize val="0"/>
        </c:dLbls>
        <c:marker val="1"/>
        <c:smooth val="0"/>
        <c:axId val="1262825359"/>
        <c:axId val="1262825775"/>
      </c:lineChart>
      <c:catAx>
        <c:axId val="1262825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2825775"/>
        <c:crosses val="autoZero"/>
        <c:auto val="1"/>
        <c:lblAlgn val="ctr"/>
        <c:lblOffset val="100"/>
        <c:noMultiLvlLbl val="0"/>
      </c:catAx>
      <c:valAx>
        <c:axId val="1262825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25359"/>
        <c:crosses val="autoZero"/>
        <c:crossBetween val="between"/>
      </c:valAx>
      <c:spPr>
        <a:noFill/>
        <a:ln>
          <a:noFill/>
        </a:ln>
        <a:effectLst/>
      </c:spPr>
    </c:plotArea>
    <c:legend>
      <c:legendPos val="r"/>
      <c:layout>
        <c:manualLayout>
          <c:xMode val="edge"/>
          <c:yMode val="edge"/>
          <c:x val="0.37524994667186029"/>
          <c:y val="0.82069784679692825"/>
          <c:w val="0.6247500533281396"/>
          <c:h val="0.1715861038203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[sales_dataset_random_1000.xlsx]Sales By Month!PivotTable4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Month'!$B$3</c:f>
              <c:strCache>
                <c:ptCount val="1"/>
                <c:pt idx="0">
                  <c:v>Total</c:v>
                </c:pt>
              </c:strCache>
            </c:strRef>
          </c:tx>
          <c:spPr>
            <a:solidFill>
              <a:schemeClr val="accent1"/>
            </a:solidFill>
            <a:ln>
              <a:noFill/>
            </a:ln>
            <a:effectLst/>
          </c:spPr>
          <c:cat>
            <c:strRef>
              <c:f>'Sales By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Month'!$B$4:$B$16</c:f>
              <c:numCache>
                <c:formatCode>General</c:formatCode>
                <c:ptCount val="12"/>
                <c:pt idx="0">
                  <c:v>57082.969999999994</c:v>
                </c:pt>
                <c:pt idx="1">
                  <c:v>53922.180000000015</c:v>
                </c:pt>
                <c:pt idx="2">
                  <c:v>53318.33</c:v>
                </c:pt>
                <c:pt idx="3">
                  <c:v>50855.229999999981</c:v>
                </c:pt>
                <c:pt idx="4">
                  <c:v>54618.639999999992</c:v>
                </c:pt>
                <c:pt idx="5">
                  <c:v>47980.63</c:v>
                </c:pt>
                <c:pt idx="6">
                  <c:v>52218.429999999993</c:v>
                </c:pt>
                <c:pt idx="7">
                  <c:v>55121.360000000008</c:v>
                </c:pt>
                <c:pt idx="8">
                  <c:v>61364.94999999999</c:v>
                </c:pt>
                <c:pt idx="9">
                  <c:v>45672.41</c:v>
                </c:pt>
                <c:pt idx="10">
                  <c:v>40264.459999999992</c:v>
                </c:pt>
                <c:pt idx="11">
                  <c:v>39177.549999999996</c:v>
                </c:pt>
              </c:numCache>
            </c:numRef>
          </c:val>
          <c:extLst>
            <c:ext xmlns:c16="http://schemas.microsoft.com/office/drawing/2014/chart" uri="{C3380CC4-5D6E-409C-BE32-E72D297353CC}">
              <c16:uniqueId val="{00000000-0953-4450-A560-E3B4E8F29A42}"/>
            </c:ext>
          </c:extLst>
        </c:ser>
        <c:dLbls>
          <c:showLegendKey val="0"/>
          <c:showVal val="0"/>
          <c:showCatName val="0"/>
          <c:showSerName val="0"/>
          <c:showPercent val="0"/>
          <c:showBubbleSize val="0"/>
        </c:dLbls>
        <c:axId val="1405248735"/>
        <c:axId val="1405243327"/>
      </c:areaChart>
      <c:catAx>
        <c:axId val="140524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43327"/>
        <c:crosses val="autoZero"/>
        <c:auto val="1"/>
        <c:lblAlgn val="ctr"/>
        <c:lblOffset val="100"/>
        <c:noMultiLvlLbl val="0"/>
      </c:catAx>
      <c:valAx>
        <c:axId val="140524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487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B2-44B3-972A-B5AD57211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B2-44B3-972A-B5AD572118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B2-44B3-972A-B5AD57211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3 customer'!$E$4:$E$6</c:f>
              <c:strCache>
                <c:ptCount val="3"/>
                <c:pt idx="0">
                  <c:v>Brosina Hoffman</c:v>
                </c:pt>
                <c:pt idx="1">
                  <c:v>Harold Pawlan</c:v>
                </c:pt>
                <c:pt idx="2">
                  <c:v>Andrew Allen</c:v>
                </c:pt>
              </c:strCache>
            </c:strRef>
          </c:cat>
          <c:val>
            <c:numRef>
              <c:f>'Top 3 customer'!$F$4:$F$6</c:f>
              <c:numCache>
                <c:formatCode>General</c:formatCode>
                <c:ptCount val="3"/>
                <c:pt idx="0">
                  <c:v>618.66269999999986</c:v>
                </c:pt>
                <c:pt idx="1">
                  <c:v>171.12429999999981</c:v>
                </c:pt>
                <c:pt idx="2">
                  <c:v>50.728300000000068</c:v>
                </c:pt>
              </c:numCache>
            </c:numRef>
          </c:val>
          <c:extLst>
            <c:ext xmlns:c16="http://schemas.microsoft.com/office/drawing/2014/chart" uri="{C3380CC4-5D6E-409C-BE32-E72D297353CC}">
              <c16:uniqueId val="{00000006-B0B2-44B3-972A-B5AD5721182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[sales_dataset_random_1000.xlsx]Customer Count!PivotTable10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Count'!$G$6</c:f>
              <c:strCache>
                <c:ptCount val="1"/>
                <c:pt idx="0">
                  <c:v>Total</c:v>
                </c:pt>
              </c:strCache>
            </c:strRef>
          </c:tx>
          <c:spPr>
            <a:solidFill>
              <a:schemeClr val="accent1"/>
            </a:solidFill>
            <a:ln>
              <a:noFill/>
            </a:ln>
            <a:effectLst/>
          </c:spPr>
          <c:invertIfNegative val="0"/>
          <c:cat>
            <c:strRef>
              <c:f>'Customer Count'!$F$7:$F$10</c:f>
              <c:strCache>
                <c:ptCount val="4"/>
                <c:pt idx="0">
                  <c:v>2014</c:v>
                </c:pt>
                <c:pt idx="1">
                  <c:v>2015</c:v>
                </c:pt>
                <c:pt idx="2">
                  <c:v>2016</c:v>
                </c:pt>
                <c:pt idx="3">
                  <c:v>2017</c:v>
                </c:pt>
              </c:strCache>
            </c:strRef>
          </c:cat>
          <c:val>
            <c:numRef>
              <c:f>'Customer Count'!$G$7:$G$10</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7F65-4025-9544-FB4267F88A6F}"/>
            </c:ext>
          </c:extLst>
        </c:ser>
        <c:dLbls>
          <c:showLegendKey val="0"/>
          <c:showVal val="0"/>
          <c:showCatName val="0"/>
          <c:showSerName val="0"/>
          <c:showPercent val="0"/>
          <c:showBubbleSize val="0"/>
        </c:dLbls>
        <c:gapWidth val="219"/>
        <c:axId val="1501290623"/>
        <c:axId val="1501292703"/>
      </c:barChart>
      <c:catAx>
        <c:axId val="150129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92703"/>
        <c:crosses val="autoZero"/>
        <c:auto val="1"/>
        <c:lblAlgn val="ctr"/>
        <c:lblOffset val="100"/>
        <c:noMultiLvlLbl val="0"/>
      </c:catAx>
      <c:valAx>
        <c:axId val="150129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9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6F26679-0A7E-44C3-BE14-BADA10E9F930}">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E5CCBDD2-D022-4443-A0DF-10B30808E0ED}">
          <cx:dataId val="0"/>
          <cx:layoutPr>
            <cx:geography cultureLanguage="en-US" cultureRegion="IN" attribution="Powered by Bing">
              <cx:geoCache provider="{E9337A44-BEBE-4D9F-B70C-5C5E7DAFC167}">
                <cx:binary>1Httk5w40u1fmZjPFw8SSEgbOxtxBVRVV7+4X2y321+Idr+AECCBBAj9+ifb9szafry7s3En4sZ0
TNjTJSRSSuXJkyfLf3/wf3vonu6nn3zfDfZvD/7XnxvnzN9++cU+NE/9vX3Vy4dJW/3sXj3o/hf9
/Cwfnn55nO5XOdS/4Bilvzw095N78j//4++wWv2kz/TDvZN6uJqfpu36yc6ds/9m7IdDP90/9nIo
pHWTfHDo158vnj5O91bd//zT0+Ck295s5unXn7956ueffvl+rf/13p86MM3NjzA3Ra8IzlCSZTT+
9IN//qnTQ/1lOOL8FUNxhjlnn8fJb+++uO9h/h+x6JM994+P05O1sKVPf3898xv7YaD8+acHPQ/u
5dxqOMJff347SPf0+NONu3dP9uefpNX55wdy/bKJtzefdv3Ltyf/j79/9wGcw3effOWc7w/tPw39
L9/k95181tMg/0TvJNkrTFJKOeKfTx996x2E+CuKMnBgivinn2+988ds+rF/vp77nYfy//uX9NBb
d9/8dj7/75GT8FcJfokbTH4YOQihVzRjGGNKf3vr55j5T3b82B+fZ33nibdv/pKeOAX4mh/U9tu5
/AneyF5wDDNKAKpefti3kcLIK8yyLEtQ8kMc+yMW/dgv/5z5nW9O7/6Svtl1epKPfyKIYfaKcEJQ
+uXk4+9AjOFXKcuSFLMvDyS/XYvP4fIHDPqxZ36f+J1jdmd/Ccf8+xz4NQH45sn/kgAAjJE4IVma
ZJ8DA07/OwIQI5bQhKefAyv91jvfpeZ/bdaPffTd9G928tfI+xd6cs1P+f2kOzn8iWGTkFck4UlG
kvjzwWffOibjrxAjCaP0C3P7Lsv8cbt+7Jnv538XRBf5XyKIvrEaGPTl0zDYrVvu/1SelsavGAea
9oUjx99DXJa9YgljPMu++BKy0+dI+Qxxf9SqH3vq29nf7Bg2/Nfkam+e/L397ZD+BHqAXqU0YSlD
6IdEGsqcJEkwOOif9OFrB/1Hc37smS/TvnPJm/d/ydC5vbcNlLtOD3+eX9LsVYoQpB+W/RDkEI5f
EUJTFqefHQfc4Wu//DGbfuycr+d+56Hbv2bQ3Er7oAcr/0wHpa8g9XOS0C/Ixb/NQoy/yiBuCOE/
Jm9/yKR/4Z9/7uZ795z8/wmgf60e/C6xFPfuvvykzXwlIPz70U+7B8Xou6lf7vkPse9zCJw8/voz
ThACYvC75vOyyDcRcvG0/nR8muzT78XWV9Oe7q379ecoS17xGNOMp2mSgCczEHnWp89DwELgE5bh
OIsThGFkeCE8n5SjBLQHqHAJx1BYpUAMrZ5fhhL2isNycQwjL4GL6O+y2KXuthru6G+b/vL7T8Pc
X2o5OAuzE9iQ+fzci60k5TGJM8IQZwxnKWIxjD/cXwMYwePo/+BxGvpkJtOBL5FM8mFKXAlvmdRp
Uy3k1MfTuNzUxFZHHctmPlngRVeNiZZ+r1q0qXyalq4XjeIyz6o5EdU8tQIbX+d1XaXyii823mdq
SETNxzYPPlovaoWapEBbVb3xeCDv6bDcd2jLa1jqzTJW5MYpHa7sxN9oU7d5NxiVCk27ygqCMium
pA3n85qSQbCWoWtLdSKccfF7rlBLRRRJfD0MqzraaXGl7pnMqYGJK82iMiWZv+i9tgWKELquAo7K
3kb82eJJx8LoxK9i6cN0Ui9tP4nUK3OfLMiVYbU8D6ltxaeDUmFkxZQ1H8H/Mo8iC7NXtEwnRE2B
7RnCXOdtP58E1aZ5lsww0ZLV4gIPZmsF7XnPb5c2jHU+dCx+n/UunFOz8Bxq8XDoYx8ObrXTyRLN
8HbE1lUMbbTtrHQ8X6VOZtE4PhGRSomVWG0SDlPL5r7Apo7u5jkhN8y1fS/onKCziVke71eCuneb
6jJWLPWM3k89i6RQPobVur7xr5npoufQrDz3yVgdVeObx6iz/sIQxvaf7LMvVsHNnjbRwp8nuHPg
jKEPS57RbFh38TQP+3nellwzE3ZSwyFbtrlyCMvciMxJfFYzNNNGzE6p9YziqmkOVYdUOFCQbZNd
QzIl90lItBZtFSIxRFodQ6pPlil1WLh2mXdO1vi9iWJGd8hsLN7DVQmH2fVwF5hRx3a2toC3y5xb
S2SZZoTc6D5076Yo6W4aM23vR9PYMzYk/E0bFrZrEjzRYuzH5DiQuT6txrS5bTeTiI5v5DQy4GxG
W0WFckTmi4ZNtoFEJQnYDnsS81QoMrpVUO6o8K0Jd2FYtz1LLd93HU6eV5qsJq+mvtcCJcE3RY1b
qXa8jV1zoToNa/G5MzuqKV5xniYLeFgsk87a0tXKXlc9385lWFWeaCWL4OLqvKe99PlSr2yPHEe7
qWuSd93M1L5nPtJC0YZ3hXeyZ3uFYnvjdPqeuG4+60l8OzC/tfm2jGsj2jlEoVxUd97XVXC5RZTu
JAtVnmbY5HOshmNdsRQLObPpdQidvrQ09Fc2Suhu3bb+ksgUHed64ALhsS77jKaHkFFXYp6GY5OO
qhMKr0m+diR56xGNBek35kU1UQhUv84itQoCAw8SLtVaqd3gFl9i7dJOxFUb8nm10X40iT2fE96+
9ixRp0O0kktHalwuzeLgwczGs6j7rmoFi3h61vFRzsXq4+z9EiJ5XiFUP2xT20Jm0CfTBq4Phqti
oAldRYt004qtTeiQxzDnPowcgj5qJz8cat2PNyOPTVuuC2rKuVkSKSI1hLeebHEZ2rG5WBIzHUNs
9LuIkm2PxyzGZbJF2ompNnFUDltARiydSwvcDLZM5oEgCGWyIjF3a1wslG6na2X0VeODveWw/+Qk
rYJvT0yvM1vQUE/HuWqbPNroHIRamXKiH4iE/Y/znIcm0yjPBjPlU4ebNzSr45D7blI5nvr2dHGt
2vJlko2IW0ylSKix+cQXv2/iesjXrb/XIR7LSW74RFdjdqG3OXqjVAfgP+Mm7Pjq2wRe0TmTBxam
y4kpdcyGhRV6BTDHdAFUsnSu7j4hy6hc9cx9r46dhgjFKKD4cxQZCqDlA2DUtPasoFEMsLpgvQBq
bJBhJk2Hva8Bns3Q4RTCYcXXiLy8yDWTLwZswZJuUeF8jdfFiGaN+HAB2X67sJPSW6F1cKWdh3A+
MUROv+6AfJNkH7TZJlk3X9pPv//6jze6h/8+tUT++eFL9+qfv53/1vb6t0/tn/RLGWu/f+iFLv2+
1j+bLy8U5fdOzHek53Oj7Ddy8N8M/jG6lCQoBQrzr+nSN4XeC/v4MuMLU+IJqGUcJ9CQoS9q8gvp
+cKUUEyBKmOcxS8pE5gK1PhfqFJCX6WcwhCmaRqnUGb+TpUwAWWAkJSlccwyxuP/iiqBpgr9uq+5
EgKKBkoqzzDwLgqiKvD1r7lS7KJoGbWOT9YRT7dLlGbCdtsD87i7CCgayyZCVvheq+tsZefWmuU9
XdrxxujoZowne5w3SHcjy8J5qufoZKsSWu0X3TaX8zBG93OWacGpjsdDyqqsEYTg2l4OGdmSqzSV
CvciGjqUnQQ0MXwBQBrrt7Yb8dwC7ASdQPZzxpwzM8VZm8fLGrwXii+uT0VVAQvZhVDH2SLMOk3j
244NjniRDX2Hjg33FIsRV9yVWROndtd0KTZHl9ayw6IdFGg0wuNt46Xs24COmd7wu3Sr7ahE0EiT
3KWVB+KDs42czFKTuBJqk1n7ptqiaF4EytQyFo0m+r4dKvZY07bOCkib3gK4NDpeaM5sJmMAgKk1
hQMT7F55jU9ZnASbz5Q3p1WLgGesLiN2t8Rtu5RBtxsrmG4Pfa3NnYemZy+6IXGHNvKsXGNG7raF
pIIldXOQVt7UXWfAWXN7PuJBH1q8vmu1TPatW1uBel4f1Fo3QYx93dxKL9e63BZ5kjF/rtPptFnn
+dbW/ZDPnb1Met/UYlg44HhNH5yvVjHN611oic3xyHPlk5Paq3d+cYPYOGqPjKUfoUM7lUml5pvA
ZiuGEPX7GY40SgYtSGbWvc2abMfwsAdt5XoJ8h3t8DOope40WL0KruqL0IxZ3s/uTvf22C96OCgn
TZHJpPChx8Juhp4aEwMdGMNlUwPjUFi9g8wji3mKdKn65YnKgQJ9CNXlyjUVNvaR4PNcCZtUhdpm
tU+XFAkfltcYcmGxLIvPa1R1ebouzVk1d9M5cysuM5LGJ5mWcjf4QMQc1U0e7Mg+yhkv+34h8iNr
Rn/007aVZiTRdW22FEht/VQllX5NIndDnPQ3Q791+9j0UgzSyMOgKBWzjKlI9EaAChKgfoykJ4AL
zW6aMN/VPUlz0kR8v9D1SRPVn7jG6aIC7BCqnuWQV15+1Emq84UMfVnXUy143FtICEkv7OC2nISI
ChIvXYkiKwXD/g0iQyymTr2LuuokAJETvTWjIC66JVsVi0T59tiMhOeRSeXzSzX1YQ5Z3iInWrWm
SthlpKmYt1id9YuaTyl1EPHzxMYiSUP0rB2F+mhhkIyEzlhcF1O7hC3feh8dsIrn6w0ta3bTpcpc
0hj3gxirSV4Yhuku0ZKVVVZlNkfd3L6xtHe5i1Go97LV+DjM9dTnW+LgbXCxVBDV6h7mbkzyuFqW
y3ZVKF8WuBY1XzokmPfb42gAVMs6S7fj7ORwwG7dVr53cLX8C8mIfT6CtUpou7pnNI6rFDVQlB31
89w8b60FDsxWPgaRxqNZLzAj9s4SuC1YNCnwBbT08Wkz8H6/SmbyZozwPsYadqbWk2xr6T5rNKCE
B/ar4xrIdbLMIjGhFrEZk7LioduPdSUFZuG9Ryl/l0njL7o2uoeQusVBxmLolC770R1dNKYXbYxV
AfynBZIoHyvLpkJiI9/1U9tpQQ2R53jaFiT6OSRFQD26HPvq7dhhxQTnCT8zaaePiLtdkiXL2TJL
c50mPLpRqc3ucU9kUSs+5qHnUATPdQNhvHqMy0oPfrd1W3xOq02XrnK2qJ1zF51tdAnrDDsdxdt+
eolalVb0CgqpZFeNxJfR2DX7rFsuuyaVpdzsYUVxg0XlwksuCUxsFR2u1mS7G2ZNDunS84cJ26vM
p80qrEqWQ8Lce7q1vZAxEE6cLCdph1ihZpRA3YyMe650mpZt5KLTbSbNji0zKoY48NJoL8VWs3pX
pQjwgG0XEujl6xDFy/kmOZTC25wVcvBYeNtCaGV4Ll2K633DUy/iFbOct+0sDJr2W1RPgMHunM+A
WiHZNsExh5vo/HDiVEoEXaGardF6PbOAhWJalTrtlYC98cPo/T7aRn4yxUuVa+RjkVHeP2xGL2Uc
JS6fURQVxqqxaHvdVYIzbN9w2fIiYWorxrTjhXXjCY94LabIPPsxe9vLTJeBr/MutkYC2+Uhj9JU
l83gm9089/4YqfHxhVF2rppPke86EVYy5h3OhtcYmMkZ9uDYId7a3SpdfBJAej1EJONiNIMSyzBA
zVhDyRMx2POs2k7gXgHejfRDCPEmBpahslHuA9ZKnRJTVQJtQyeqZN0EiAXoDO6A3VuZNvmq1PNM
O77zJnyozUshFThgWbuR6rzSqMIChAs4PV5/7A1a87hz02WlcJU3C7IXa8oWSO7YCBrXdxqRZ8PH
p9TJbtcRIAyLT2/7aW7yXtnxXcdgqTClkzCzd8/TnOK8ta0qQH7pRWbX5lKTrr3iWJuTmOFwtigH
x5CpD3NfxQWAqQbUlsst2zQkDJfcSAnl1FL7WbSeAa5T2X3Eg8N5jzd9Mqc93bVLtuUDj4adbUN/
hhFeS7eFNF+S7aNtqg1KApqJlYMNa6NUGUNd9s7GOFyqxGo40MAJFU02e6hflAHzF6faOwh75c7d
OrA3Y0ZgbhJvN9NcndDOr3nU8fpqtt16SVzV3mUtvSGUrrnu6osUa3tIZlYnuW9aU4IoBgfdyCZ9
y4lac0/oJDbHyjRUFOejzWrw9LJuRRj7TUi6cJTXGj+SwQ+k2MDPIJQh/XpBwR3i4LND5gn7sCob
382xf2hN5V6HOInacoFi9tAal7wmPV1KFFo/ALIatwjSbDnHC29ERQjciLi/Hhkn1+sW2zgH1IyA
YmCDc5La7tlO0Mp5CdQafAoyoxZbNtG9MYhAyAzU6cNkeZjzGUOa3+rkxshtzjMXnzEWt+8t5fHH
oR6P3dpUoWh1U+djnTx21JKbgUr8gOo26kEko1yJSM7+xKx6GoVUTTsXUBb7h7hjXWH0bG/COo0n
FYDn+dJE3Z4P9DLQ4bTSmcuKBdKBP6AotHCd6ZI9VnXW5w222WsOusstMVN6jmZJiqlfu5LIxORG
m9AV05j1pXaJvp6SdJL5Bkdx4RVmUN5WmoD4ZOa6CBNzfbF4u70emOz2NZraXZWtbocyhEsDdu3d
RKN9S9qq349ZJ28BzdQtpLj5fQcKwo1qXXWI20yexGQFxluN9DgOS9QKGdlKiY2u3bsay3Y7XaKt
Fzw005FHGAKiiVdVGtnxI2iwS970Hinh08EUdKlBOojtdOWCd7cxC/MjMetyYFbzU9227nVaN9Nb
nZBJQfzp1hXJSAvVk8YIYFfhHZ9cr1soH+z6pkaAsDnUSTMvAjcJFWlntqWULcTDKWdp35es6ujb
tWKBvq9VJEOxMA+Zlc0ph0CcvBMgi/i6TFVKL2iimrslW2kEZGW+6cKwocI2Q3TeDV7eVT0ZdlPF
+rTog+9O5nmIi5a1NRNpqiImbL/2t3Hlq6sFHj34HuB16vnN2gM3tsM4fxz6QRdRk7U76kJ9Og1A
SbthGZ1w/dK/QQ0oVAl8s3K/sl6dtdqOu613TaHrsctNFDqQiSdDdisa1qsuJdNUkFD1ol2kKpcW
gd41BJCXcDsc5szXl9gk1XbNsnbSr33deFLw2scjVTmDL6kBWehNwzfLxDxjbOwj0E3J5lqobFzT
G+1qqizA2KZZNtlDy5uei7XdlnDa+TTKqW1R2QUzTEViG8BRzzoP1IkmB9dQcouZ7OcirLXJDpOC
WPzIKauKOGqr+kwuixwFXOGpLTGr14LieTG5irIV0MdN+mxxkTnMlqNrPzqoBdAY7QOhTbG4LTqO
62ROJriTxewSeWZakCwrPGfP/aTTh3gAuVRMcnLt3vfmjVW8kncIpXPep3w9dxCPgtkQSEEtY08g
5tYHOvdAwZFronyUU/YutGtcSgroXHLbqZ3FNtzHQKxP180Q0UF9rDMT7zUsewx4dFfGSPO+8Wl/
va6IHIORa4771BSkQYkRqOmTElROJ3RcATsYld17tSDoNrT6Ik3HvgA5J31rgUWWznsQ5QfUljXk
OiDn41Z6PLly7rKTyAxLoaFwv3a15LtJxfiepD499GoyolKATJ02TGRSN3tZJ0sxacLOEtlTcK9t
1o8dj5Y96EyvE9/wx3iYXi9giZhcjHOD8XYYUTcClZrrMwUlrReIp2sJ92bcGe5JOW7QuxjgUsYC
tbIp16pvSt5BGq98pD5Y4PRC86w/RLJKimiFTDKsdGCCdc7mURxtedomyU5XaS8GnkWvXRK2a7M2
h9mDQOvVPOSkHpIJGHjUld3WNE/G0PS8qqQEoB3rQ6Wh66EsAP9sQOLtmi4PU9eXk3ILJJ11u2pc
zC8WX6uyHSQ9KCpJibsYANNqfZQxumSsX4S11ut8NvW9zYa2GPTmFBC7kV2oaJxy38eqRF2Virbj
yV3NUSaS1Q593sumv4uMvRuTTIlmYfuUeBQLbZbHGFoxBybjcLL1UwfnN88gdRM3Cz/UXb6pBNSH
rKagc3b30FFrygW8JfDg3xsGRUTNii2Mj0Pbvbft8nLf5liXsxuUFj5JSspiLDrJq2MrLblX1lei
r2OaA2cG0TEafNuVE4acV6d+PNO0HeC22GyPYpWBQJrKs66u1SXoD3FczKmfWbmYeLmwDvh2Gy+4
GF/kH8+sOeHj2EGfaAmHumXx0zpAidZCp+LQpw5k52jEV63LQBEw04NrvDtmvWxFzFR2hBZg0TSb
OWGGjpCAI3XEWb9cBdXUu1qOH6FeAyq2DXIr0tD2J8NsFgVdM7vdLg56Y6D3nCdJX70DKvVGRuOY
Z5PLThtoNuSjD0AcdXNSrWG0opmjqRiW+QNH4/mKtkQ0LX43RAB57ZKmO0Mnlq/wHanbxqNeJNAn
LHjMlhzPFXkTtCKCBIVPh605k9Fw56C7dthsczNR9Aw9T+B/G7CjoTbDTaPxXdKg7iRZhvTRkm4q
4npKChP173zGkmdj+ijs6oFRJ0D1APLtDfSIAu2voWMU10LXLSqcYdWHJZ7VIvyyTCBQbOv1iFDQ
omNVBbKTW9cdsekmgfz3CGocT/YKWgPX0CIlTpiEaArbq7JZsKlxEURCX9JYTUc8AJUMsvZQ6lQF
uMpk56ol5vVCUyDWSEH3BAclkaA4dEO5sA7Zco4bc4ERZSfwPzCkBvaMa3ydthrAg8nmyE2sjhuB
5IqS9aFSZh73KlJ16emciixr+4J0/hhkpiDU0bsJUlLeIWdAVH/RAs1Q5xufM5EhurzEBLA8icge
E2DCtcUACdRPy3po9XzIlvFDzcLRw4XPO2niE1VH5xW3wHU6MpbtmB0NWtxuTVRWZop2R0NA/oMO
hs0HoPo5MFOcV+l4NtXLFW/tY9xLuPHVRkruh6sxNUMBwkx2MqQKiyxyzR5qFxAQQx+9XnF6K1Fq
T10VmWKdqMzrLhmgg2DqUuoeHXwLxdlEZnsyuDoG5cJpESvyaNaKX82g8x/aapV5o7cPqkagnLkt
2WVqkqJ1yceKLOhmZUQV1G/rlLezXp+IzZYbwD4sKCVTnkG74ziNIEbFqM1RFaXn3cQi0FmgP1pO
sVIHTofz1HU2r0KSzgWWK5/LrEZ9Jtq4UccR8iPiQe+U3My9RVrfEZYmfaGiEB4UbiqfQ+M7ute0
n15ncRcdWkh4k4AvtPsDU+10likokTLO2qbwsj5OUVqXSb9tH4FnQWjVpr+XLWKv9ZpU58E180Mk
6XM9oc0I3kT2OIIMfRV8WuVEZuuQGxmvb5kn8yXGTRouJs+0EWvW6z2ooH0juEtMEQKHJqiWKCuo
kr4wWA5TLsNmdtLgBuqFKrpAciJLTiAZHGS1vNlq8hYYArkZq1rv6nFzB4iDraSThR4UZ+9WRgHh
mwHf1HFnctskrxmy1X3vhwh62xXL4R9RYFl0UKRHpysGUnMG/XorRrc0p8AhnN/VdNL51Eo6H9MB
8EdQBz2zfV2t/kUk6hqxghYGnKanSAxQ3AC9W7Uh0ErW07vJpOPpODK2iEZnPBZzDBrfZtoq3wAX
7qj2PLlYJYnfLLAALdg4h9tZQfMPwrgC0QgE6kbUw2bPk9nMZxncnjGPzer26zjIs2CMmQpIWFy4
aa6BMW2rg66l66FF516YEKDMXa9o9iGdGgahPbfuYFijxRj5EUgrfDtuEHXULXnKEn9DZuNAfIqV
oQLKMAaeiPi7Dtv6kTR1WxdDXdW+AE1tu97U4qGHC4FWhtFvEgg9FN4eQ4oGCtqbAvqHzyvQ6xJa
BFfQNmxFsDQ+GkVdQcy87mtZjVe+XvBt2wIDL0gKgP0/7H1Xc904uu0vwhRBBBKv3EnZCpba1gtL
DgMwA2AAyV9/Fy3PHUt9r336/UxVt6qlLZEEgS+s8M3qBb3tXUeLrHZTet8Lj3yKWNbd1iuZ/iK8
GC+YccBlmlWl134hw18VePSbqAlgKS0kI2hee3bXizS5VyRH++Jpri4JMfGXpS6qi6FPp4c4ZgBD
53jEKe1ahNWsEWkbo2Y0Zl+IvsShDBwZawxABTPmlS5vgPAPyCfKs/qypPEijoMMAm+6KQ/54HW5
n6v+dtU9h0hiseBLAUN9jNZEX5QcobKtzfLv2jb0c057FGqrHNI9kA5/Y5QqdKbLwv01StEdA0HW
1R1HMsOW2qPZKQ6R7suTJSGNMkCjlz6fk/MpRMPB9rK6shQyV1T2NLrq1i48DmU7zIiyRbM3JPCd
9DxHOBnIna2cvRFLSM8aQ/Whn1Z7Cn3Ed8xW2CXEh+E6rRv2CegtQRIL9mOE+u7Kdy4cxwHVP+DM
BCgNMfeLKaddqvQE0L4rd9r2zfU4qK9kovSA4JSfSSOGPQFXfK0mHA1WxuZQOHbeGZretrOcz8Mi
pgtJkhXCg7ze8wFdx4iKcQe82V/0Ro3XxCfVVSrVF5D99DDlS3Qs0+VFL43ZxbxCZ5CWgBVp3gAr
88sTNEH5MfHgtm28sgPBRj+ZCdzw5EEEV30HzKar2iUG0LbuDZvpXsLzlg2iQy0brf5zUfNlh1Zh
PVv8LFcksn68TZMOODBVdb1vRTzV97MwxX4xSDalqLoKeNZUXZHE7YMAfQOMlaLS6MyRVumaqW69
EdWK70f5Xc/m5UMYWuDAU/Wk+vgT0wjWgrSHgrN1D6TkRbVeZkqD8AjB6H1P6mjfJqQ7xrTiZ4E3
J67L+zW1aBW4EDs1Rmum9fqBmQKij9L9ZXtX3ko9nuUkPkNhNZymlU/PZAYNEjPyiUU0OkYrKuTZ
keJkJyTqOR1fGlW6uzC6u7GL6yWLuhSpnW6NoKnJh5SpZZdHsTl3bRRf8Yl84yQZr7u49ZlH/M8K
0GAAehT/NASxyRjmq8na+dzX7q//pa1/MXK+cT/8R+j6Q6638cz/f9L6nYniF3Xg9ns/qWsp/6US
xqRAsQpDIQfT/JO6Ru77lwBnHaVqo6Jl+l/mOqH/YoInDMQ2WG0w5z8VfhQKPxYLmA4pzIdgm5N/
pvB7Q1pvV4TQV0nKYiDh7Ad1/itpXdPStzRU4ntK82FUh9hyS2pkv6lYnwQyVfXCiQeR2rqlX/h+
iHEWwfF0efRFt54jy3fxjO5EGbGMewSr1p0F1dT9dS0aS5asq2ZhvwhgvjNQGylrqC90ArHh92SG
SuS+NnNSv6QpMO2vrAFSdaNlAdVO1tACR3HHrfDNB0MjgLJ7XQPUQkMcRNNc0WRxuGWNYn65jBvW
lv8m/dThd355pf8PGeRbESSQSOgOONBgKAnw+qCrfEvsJ7QpRiNN+j0PXVu6M7DlNT+r+dT75Gzt
9QB0Yi0sTKp1lBdxfvz95elbYQGunyQgjGLOcOARHtX2819EmGvJUqR0WXwracUQhAdAewxFnYqJ
K49+DtoPezQsmpuMcAIg6TZwtvTxjvJVBnYxSAiHQMZ1jnl6o0Tq8LPf3+S2Br8KRaGfoIzjRrHD
eQRVxdt7DMs6F34V1VnSEl+hNGuahD1LXxl0hv/0UjzaZLES+jEoQeS719HkcbOMWuoz7FcynE/I
CGwTHrgGX35/KRzMX56KQ3fLGEe+g9yWQ3iSvFv52RQkNp6Rb5J44M17jRIjccc6BUuBCs4PUj5X
UDEMkE3/3yDy5x23XRdBG4WxiCBoYe+vawEVJh1hEEAsOEkymyJb958Mz+NWAzksxuJDm8NIP2QG
3TP4699fflOq/Pdlbo+dwK/BU0jtBGy0ybYsv2w4LaaCRLNh30hSJyCCRYikeHld7g7NaH1TENrR
a1a5ZXwAHxGhKICFof7jC0Cce3snAgR9KgTcpVDxiB+am1/uZJBFVC7Azb6Cz22FP3XONvlyIHnT
q+W0pH7GW/mnDw81kORSpJGK4L17J3k2icnrEnDqNy4DYtdxoXKl1VH4MPb8UKQ5l88e+Tp2WQ+l
knzuomXyagOd0DP8YSNQ9rcFUBGkRlv4YUgS7wXYWkEjouxAvhggqQ05mwezHXPIkw2s+mMoOTr9
oukXsHUz5FO4K1FEZnxorCzBkBHq2wfVmAbH0InOx/cNNNr9l9+v2Xa6f90wMJJEm74K6mpkJvb+
SI7gBnzk1vnL7KHMjTKgMBEWK5oDAxI8e7BMDzau3HZohrAdV6g29PhPF4tSmcBsFMEOxhlHwH67
b1MX98MCsfeXtkaBh/4TMRnV7rREA4S5LBfIZr0effXSlKJFnkBH4ak4S0lJpipzgJV/5LPF4Lfa
Yq2ny03c3TV/CJb0/QHD9AAmEcEg4U8iMITvouXMQmtVu7IvfR5L0hzKobf1eOtWSHNAR7rF4eYI
wD38rFtcA1FiWq0LeQjW5ue98nWpd81GDF82xrVDDuQ3kjn4bRGR+h7Ccb02qDzVjEAfk3Kh7QXY
+hp/tSry4NwfAgaFGejNBoglhQ1PSSQBIeE5fhcxsDNbN7WTfU5EJ0qxs1BUYSvm+YgubkfXhCBh
5ctr9KxBETtwJVv0tjRP8aM5DAyI+BjYnw80fx/FY9RQMDIoKPRg2vzbtqjQLDa56eyz9ThF7sD6
KuXXMUwGyyXrxwXLofKpXp8gbl+WJBuND87sEPCDvNduzcmZb3i5QhI+9vImLeRW9sxQUtQKAKLY
Xk/XM4UttEyJmO6tL6v1aa1lFaosqustFRdYfbygrlUG32QQjq5PaTPPeHdMlAu+9Guk0ada0bP+
KEFM47eqWRcom9yPy6tUkyVkaTdDlJOhsYtw50BXt4pnsKKpXuZets4e1eTp9MAZdKxX3le5z6DD
9XGzIzpv5jPA2EF/btM2509TNFFssiTVqJ4m13YovH4fG96HcKx+EiUJTVEeSMHgSHmTTMCcteAY
bf0MxUwPsHSG3wX4T+jKDpDv6AICxe+v+D4awanCo5gib1MUT3+7Yu8jEDMNC5/ZOm6bMUAxgPAH
ZhiE3FFOTsjnvGRgmrIQj0OvrwGfJtinv7+NrUh/cyhYImWcIHGJOIqB7Lx78hWKJEeUbJ4a3jYD
lDTdKMj3zhmHaGSqvqUHn0MMdzv1qUbEsUZ0+qDTIZ66DCMVQj1lQ6zdZZ2n8mFmvk6XrA+Aeu+H
lETFzol17i6xiUDElBHPC5tBHES3w24i7ENoolFdnOdlNWwnf+KCfcDUjMQuUKV5Nk+n3z/x+7iW
MiQolBt46s23jk7n7buuZG7aAGXD4wRWF6U5qNUYpTmE9Ni3HEUWPzM0zNi2c6UYvujhR71OpN22
NBvLEOcP+Sy3LR27Ym38GbBJtoVIB3qFHl0NeKEAf7lsSu08NFunQJe0welMqMMx+v0jxe8iW4oK
KEXaRFTDG4SH9V2odgymla5s48d0MAxnawA+ixsYCBu3o/vjHMdRtODecjNvRxyxcgsp3jokGmKg
K4ciSGzf6kBUVi+1KhOgq6He1sEtoZM3uZvxqcKw7REX3cj+CAIXHheb+on1uwX5Ao/7h0d719fg
0RRq9pjiqKBiR7339m0Nc0WTeuyWR6anLVIN3mFrrfVadF8HUE4xtKhDB71AErdbfmxIR/FCZtnU
ejmsAFMHfVSMjOERVarHcoSkZNh9bFoRTdqCKGwxHmq7RbcRYfOsiC38TbsBFQkuWAx5hP9C5wiJ
IDg3jqUYhsSQYSegVcSRMCqG6mz3uj5bKNwmNP2u0n53RlOUC6iukhgoJSb9/K3UpQFKlEU6Amw4
6RAdXsvb2KQzqDP0ywb2ht9fMX6XjrZLcobCHiJx/IOq6e2yRyWoWmnn5GM/UuyQYRkGbCjkfqwP
Ly3vxCEPpJv7TNYMlOdZPeUtShYEPaxS8HM93CZg23PIUQZIte7RhcTTvcdsCWSAhuDgQy6HRPXz
tWkXWizlDDU3zgpO0fY6dDVvL4KUBcUXtZRquo+6psOdiKpCbgJ+vHXfv392rtjbmIiH35IAggT4
d1RB7zsblIM90dG8fASTCcNeNowVdDl5gGHnBtwZ98vBGS9Buas4VkD6vXeFu4jqkc0is6h2yKXX
DYgb8OQJ27nQzfprVNTRWchHDplL0nb1N17Wq79vNg7mJcArEj7wicIut0/LVgm7c6gf+/EYgkin
G+9A2kDh2UQNvWKRp2rfth5qrHIeRp9n3Zy6tcxMC18ZZM1QGuAwTKsPS53NRJS8PKqYjvxB1sPC
NYxAdAzjyapgaI76LdcDpMYJKrNdstZhXdGsYyva87lawD+43pbyOKlEs71oyLx+DBKGtKeR1yAb
GaxsdLegP4VoTeqhV3tVxPB1aVHrsyRmw951UVgvc9VG0YkGauKjJn1qooOtuoY/AvaFaudRddE8
f5yHGfJK0g8tuUfGSKAd8lL6xzWZNOSotuuo6e/UvNbVKS+A2RxXoONQ/yp02bEBY/xDrk2bMm2/
mRjCynmPrbK472oEvxrtqjr0tDwb8taJdI8+QNTylDekkjeg+0lVQX5t47423w0sdbCh7WbKUki1
4OObsKVhXeituWMyGmR0aFtubXI+QnVi6qtWzBW8YuWkhzBdBZFrCMmhewijuM/bmLlzWXLw/Ufs
FciQMjutEdJ63adg8UDAcOmGvcn9Wi7nQffEFFAXN8g2u0oFjgA72WIUnzoCbqA/x+YIJAcxgLKF
3owWVRcYoIWls/wAYWeCL8PrNwmEFPhZpNDV+93a9dx9WUcH2d1FKb3V8RmdCUmS3QL4ekxOc1vS
ps4EEF3kxUiQAo+jGSTj7GXOIZ9Wu1IYJfSHJdhgk9syJ2WowXUyEtvzalxUOn2QJRMFBKRKbZhE
4gdhqqdE5zlZLzmve6wUxLAI2deI2s7Amchyn9RXtHAFrW/LMpRpfgiQUPf6AFqQ4d4RsrZbWiZg
4DGYELMUbh9ZsJbpvh0iItpPYLBbXK+BhEM9jjqFjMCjD8bKxulYIIPsqDTbH8H9o2TJnFNbTc9N
j6ffWUNbWABLE7YVY/VQ4UvXg22HpD/ZQj6fBp0mOxWGDhtgbVFvnOBhbfA5+/qoZhArls+VQIcS
5JI+x9VqAxbloaXF9nqo5SYWf9Ea4oQ6a7kqgZARaBrwKgiMKoZ/B2Oo0HH4okCltQspXRK3K1Ij
RoI3yEc3PoHagfQa60XM2p3MuHI6X6dlst1ygTdt1weJnYUrMPzIfcnJvG0w6cn25sVC8L1aNdvS
TBNkAAVSbOoC7mHCKAE848/n8Z4x9wUwosH3xGw7+VAJnkP3zIMCAJTZxFCsxc/dk6+9wp9MSrI9
XA7VK764EbvG737WuEqsYvsv1ovqmkWFJw8/l5q8fvw/i/z6OSAFcXUN52aDG6AtMdOXqpC28Kei
hQZmhgdmxQDHTMdMw3uDBlx3KhOvL6pbpwFbDZ336PV5S9WSCygizLTID6oZobh8mOKmxkdiC4zN
g8Zi+aSyKlq2ohe2jBjfrGE5dF/U6wp2FicIce31mUxcoEeDdrOVgZ4tY7p159Hrq33dHjKvaqyP
BGmJLyKpt4ef5WKwTyHb3C4DU4HEN5fORYl5hLGTj8MFnpRty/u6kdZxGXGXeMjtr4AI7/F7GKDB
sLv6wWy3/rqgZA3QU0P0yzqeHEgk2qo8X2PYxu1JR0C0okMooD6YrlSpN+SjD3i/xZTE7guVusX2
AWvabA/vJxS7H3og9NsfjKftC590ii91G23HoVnFdv/tKLUJj2Otaw3zjE7xd41jVLOzql8SOlyy
171SlL0aktPPJVeQZ+J25oJV+CPIAB0uXtqiQp6fqFtl9IjKrUwn6MAIWLJd1OscFxelwcDF/VBD
Y3xeAzAAZIPXBId/0oF3jvcj8iu+B++PLNNjhWJxXi4Y5H1zdzbwLmqaXa14DcYr7zX6fKroiM+b
wfX4gqJR1DeNG/HvpQkA0UQEoR+BYSFO6xsIxHOAAsGXuDo1upueZAs5XHPIl3Xb+0EhlJfHmcFp
V29iHbiYD3WDFNscZtJC03IuFFLV/DmS8J3Ko6476KnPfoLk5VAbiHlHU6Pf/brwHsMZzmxpsBwn
9uPMuC6tsWB9Hqp8fWIm7cLw6FgwQZ4Nr48+K91jiZid1wpPVGlYcg9yhbAEPjfPt+Wjs912DfCq
bYu/4qdpX0FTntEx3p53gO4EXzw2OD7vCkChJCvqFbiy4nEFdzQgi0U21wzsNT4hF7r1sBNEMthX
ryDLSiGZyo/g/30en+vcwWuera/QW462HKihE7wCXprTCq1v06B3andDDWBCXEK3sJ2ngYcC1IKu
0gGhEr7DBTmvXxBpyiN6vW3xxoJtUEEMwzgYBmgJNH7dLzWe8nNAeZaTi5D3HsYjxcoNpOxGpLvr
pIKNcbjjgLGW/DDnmE9gjjJYUfcQCBIK61MCEEg+c40pGA6i8AANX7YSvuKpJPREWNBG5Nt287Gn
2HyvK1kOHZBoVkQFmy7CKpo8uavWMZAHONkGoAqrdUo+I95if5FgV6xAyaPtGXILKZs7or3cUKq6
QL2Kylo14OCfpVqMo1/4XMv6Rkpnl/y4afsH8u9Q0HLOD8horBYwdwL/JjtIvRL/BEQyVMPHSLtS
610OR6aZ70OC2sZ9U1Mxufhzn6eAJk6+GmHB2ZF47aunlY8x77IR2WFGs09ph5oySYQaKdSAqilV
vJvwTQJPJpQ+qD8hAf3xJK/v0tkSADHk23CM47F+hJu6nrb4pxa9RRNU/9vhLfpm+0T7A73Py3j7
nqBQyiAm6mX7YA5nGj6Bzn3jNoo6tzjKGtVifrMOC7WHEgd1O5Wq2X7yc8uipkQkUgLMECiAH3j4
Fk6J3vl58SyBTsZH6e1oEh3gdopaoOd8WXMVn0Ncs51yTdYNDuzBfuELR1k2nDvo28kDj8A/3AC3
3O68KsCfPv+8kPAKKQ1UOl72a8fWFuWaVHCh2pHfVa8Bq3oFGuFE28BoUrsNhOw9FBrQnuvGdXlm
nBzJA0wCFs88BHCT00UR662MM3zGNZKp3m5r/HHgMF8CeQRGinE75DbeyNN9G+ZtTyaYE1IVsFtA
ztocTFnjNB5fFwQ48Bb0qhTzfhDee0rKSxMzDNj4A/D1rqEHloP4gB2MuTAJlEzvYWUzgEMAXh1D
Uom5EC5LtJ5xGgL8NzeO8O0Ewfe+nS5oxrd7/0N397a32y4vN+Ik2mZO4vrvGls/zh0JfQKo6jU0
lsCAcRfoA3CSfn+pdwA6ThOG4kS4FiAr/Ftubf0vvBAcZi7NUUr+Z49E8AB3OwdTBv+QKHBWiMjS
bC91LEq8YXhyOV7Zz+D4+3t5CyEIuMeBCtFtHiDYT+zz+O295BOLAd+W+kGBVZPPhaBbPd73mLwJ
4zFK5z+t898vCDsvgAOZYtYP3vU7XBGUakTrJsrv3dwiUUAIrwZ4IiuEuZ8n+/cPSDfY7r/0zvaE
wG4jAVtLGlPQUe8uONcl1+1Qy/ufESOYdQPtF8mWzVPEIfQ6wo20+rsxsKXcNyO0us+cwVbwQPqV
Ix/94Y7e7nTcEVqpVCF5JUpwQHTvgMZFQSmVLMzd16+HKqCuwxmfxypHXC/SqcArMBye2nivGJID
SgtithspLYP+bzc5dPZH0TCY0LMZoWXZIdQ7fBznI6c3xcLQT+7CK59lX8Ps7x/i/WvEiwORHQkw
JpRSKP7f7hvkXTfEM5luTF9tkWn9UQjZXrQjhHww12CY6v8c6hIgQCQXEV7k9r9tduXb6yUzqpE4
jcabn2kPThYHaTnGw4gu832h/xG0hrlRNKUwfeFgYEAZ/1s4YAGjU9qpKG9e0xKK5O1tJBgsxA5t
77aE8fsHfMdCodmDQkOBtt4GoimJGPT2CVsMx8nL2aqvmFKCQud1A8ay2ooqz5qt8QrpBLtB1HAf
QzXta3ACWY2ird8NrJ2TR1hVEC7+cF+vEpFfThDQPggW4AGOf1Dr6fvIHEVgVpLC9Ce/xpHpD7GY
Nz3BiJEVY/fvfm1BSe+6XgMdVVmTr+j3IJLTA20ukW8hDdLQ0VlgN1cxB3oQ3Ta50Lo7W5DdRXcD
43pFZ4jFYpBGn3uH4UT64MuYt+7Q1OMaDztMSZF9s0+9AFh2BSVex+StemXkKol2gn3IW3iD5utK
m0lByjNOsoDKMyohITlDq5BA4liT0iKe/SwxEoJfM1n1Whigxk4R7uWPQPTaLFQ/VjOYJkbwRXO3
JfIwxQQlaRenqPTbeMRyo0iSY3LD+norx8hrdWJBb+K9RZCarhg/1Q8NXbO296ot9hjWVUOa+h/Q
wiHxwYryWor8qIHAjQWs7+rSLQ0nbgI2hO6gkjDupZit8dDAlY9cD8NeXuhdPTc9OiIg8nVZPzIU
rpAMy2VQ3J6XMiJbO99PHkjp8tpJqbD0DJMqqrEBcAoMJQFPkJVmSLt8R8ZOh6jJHAaTivhWOWWT
cNAw+Qv3USxqWruPYAw2TgpVXBTLm27oQQN8hCZfcr3HPocg4Gg8dMUl/FooG/+9oHns0wshYXh/
pmKGkfQGwFdu71qlyiqGL6cnEXpZHP152GGOHNjwAww4eLeYZhSvmMQVwTfRTTsUV1Sku4Uvebiq
VD/0cHjVZSjQD6vUg9ksTNSfOFzB4YuMmmox+5yjZG6zBqNA/KcW2AmBR+KVNPsZTRwYbS2vUpil
0TK0ppZwzPyslABdb5Xe0g5b2njdGvWPeq5N6gpNl1fQtGA4ho9kA+9Ur7sEtxFXcBGEikzqI8Jw
lz5YGH7rY1MILTKjdXgQSyHK/VKE/FTwiZ0VEVvPGz9PZ8AiuvvEw2g7K2FuICiuI6C+k/8Ig4Q6
41p0MMTw2Hwpva0/6ajo9rPCxAr4qthwQrsKUAjD5y5TGz13FY5jG6y8kmGbncGNwduNiD+WcNEf
MBhk/LCW9RAdUFcPh3SJGDzXvWy+Gjs+xJTbS8+JvmymfjjAgTLvICXRZ1MHz6VRIb1LrHFg5m3x
rehdvq+N1dnC23YvcuUu4HRvjkvegsdtrcB0qypdWri+2uQY8CfPU3RUX/zcjad4Mfk3p6oaM1Fo
vWKUSCmOpoy6B8uBrmc1QJY+I6zTj2Fe05eatALN+Nh8DGkM5XM8RBc8UgZabULYFQfQdvRD337v
yyS/A/xXQHE0MPWNgqxBR0ItvZ/i0hRHu7TkQPtmuO8nDsgAoWDfLzNE5L1fKozuCukuT1Ru0k/F
FKvlHBqC8Wsfc4iQO+jh0agUjYFrm4n0ezqIpNmTnPiLRkFQsOd0KO/miVXodJruUvQDddAim+4l
Knt7NSc8uuwllNmInWJjQfUUMENknK8jTJQ5B35NLoqKmXifIvp9oyGwNlvXlBo0vpZ8DtaF744Q
qHULur70GFQAyXJuIWtc1x4719QW3nza+XFv11DNF3LUDqMmqC1uFpogEKMp2k2B1ewCI1Vre+Fn
54+xHeNLUTdzBqz2SYTlazTm+Q2nOD5TPw57gIMRRmPMzZTsxdKxA0+G9sYa7j8vdkZVFYGg1j0m
AkDFUO2SQgubkZHxF3DLsM3HdXvq0OpncdQMdzNtq7vewHS3q4ZBPzqzuE9+tnCFuXmcdzn1tszg
O6vBmaZAzXDwZrPu+JyGWxX3MBW061S+lI1dM9A0zVPbwVxq7UTvFGiAcxvD9jX6KL/gRctf+lTO
VyUQewwMAmSKi+YDJjwSh54SfkeZkg7+AlqpF09QlsB5YVFxiLJ3tzLI6ohAL+VOFWtyNmCQ2i2U
NlBnBJiXMenDnqZxpqfSTvLFs/wxoNN9hFUekxOd5ZgriNE73xcsyMkMyTgeUMgtD4NXIs88d+Bc
Kz1kkZmmc1jNLfzZCmPTdNKrR9UO6gubLftY+rz7Mq3T+n3EBt9PSRdfc0gDThEyxd7BL/uACpFk
IrTTFfF99YyJSu2J1TSHtgqA8I1ZIo5cNiMiRWWRAtERlTxLQK3sbN+Wp0qM/hHqLIb7n+ILGrXs
WErWfway5m5Va/wZXWr10DR+vYTxADbBBCEXjWxT3LQ8Gi78yMNt2+f+o8dQoK+smhAcYrdMN3xp
cHiASn2gbBgvZ5+E8yLMrAPykranXMJjjQYXyk8AF+p8JT6/ynPj71ZY3R9TgB+f3ZoOH5Hw4QGF
9v96pWSACkkWx1rl4gocNWW7ocFUwHRdMIMmgprsuGrS3VYA0W/13Fm3g7YjOvpQus92GLlGe7yu
V17x8RJSowr9fdN91GxVGAMKgfoBBs/0jIK120125R/SSTNg6558I3kMFdnVIvhaqG24DarVfTIC
lE6vKsGmZDhEmDxaD5izaPOrQKy+BU5S3xC+tE8YYfGC39GAagv61DeoYMoxKW9m+NQwssfS4kJ1
Nn4eST6GXW1CdA2xzvhYxNPkTiauGd8pQ5NLnnc+PWLuT6suGpPaPZhYeKAnMNb7VK2bD2wd1JQ1
LG9vOgLG/nIhmCjA9zIKg79yagJVQ2dPA3xwroExmJO7pFWF3cGMh4EuRll/X+oC5mSQtgtsUEXV
FXviWwwAxNRTSk7J1Pfr/ZK2GLNx2kqPaK/c3NVdhVXrgq4uKnTVvoa7CpXLTjRjPl0D7yj7HRup
/hiStVswGKeWVxDc5XQfKErEywGt9PAkCvRvsDcTbwf4wDOM8IMw6GwaZHIh4jlqy48YvZLHU7bM
LlLjRYxgF52nHJj+ydXLZk+YejE+KKKrEhoaXSsYEkiua9gUuZofCgbdSwYvWn3XLRjRcMJASwyP
jBIXR1dBYToFfLNA4q+TGuF0D4nbuu+ATV2U8YBRrBgDhpE8C8ZQfKgXItWK6UdNG83NHkhLU206
KxuL5sMw8DId9ossMfcKEHnf4TykICgx52WJmwOnY22uKgN+FeMOAdTu1mEzZMFsB+omGcvqrC24
6A4aVN91VQDo3JdzMZ8xjVm4e/gkTQJQq/QUVklvQSiOIlmyOIC/lkM83BChZjjqS8yCyBJeMYBp
QN2eqCX+26RQmjBvl/jUdTmFYX0y8Yg5G3I2pNuBXYeYLGSJkfcL4V2CwmxMl6LeIZIO+ECHCVxz
8RVByKXyYGxtM6EdnRUmciU02Sw3cyfENSWTHB9Bx8IEVLqUv+hpwswYox+1sc9aWYEBlS40DwHq
jEOe5v4UIXnAWz1KDwIrwRSCBRZ8z4rxOBmvdtbZ1WYJhJY2axrRPPi2lnvvJeaVpAVHfMXAuK8D
Jn8ekw6jbpye82twhLCV0rkPbr8i2fBbBTPgQwIJEOYoTUBrsB+wYTIo2sI32tnqzrq2Tw99kuir
vmu7h9H1gz6M8Kph3Erb6CQjzazOMarCYSKuq4/VNvu3rSJ6UIPpLqtckOu4mvllbEE7dhoDTTDT
Rnf7OM7x/0MwJuNpxXylbconkvA+UpPrD5bK7gYKwADxoQ8YAdSHCOOqKgwS5rLHPEgFOxVcDZA0
jue9xMMdFsDUDytGan3LwVy7UwmGbO9xKEO2LpW/QZZH8i9kVe+LEvUFbiG/R9YpjmOi5G5srXkq
C02fgZ3NR8hu1KmLVHNMbFLekjLyOzgTzaeobR5rmEzBs/H2mMSYMNOFGCZYgRG3n1mUY4pnzPIZ
I1DnMt0VgDcvchvjoXUEjLqYYRHjMftQoi25mAItvlaGJc9VrumnCgbjqwnc615Y150zgL5PgM8x
8QoxbbbZ/2HvTLbbRrIt+kXIhb6ZvAEBkqJ6S7Is5QTLsmz0fUSg+fq3ITszJdolr6qavMGbVa20
CBJN4Ma95+xj5XoHfSq2qFtZHNeb0P5iF6ukfq6r9a09mcNTo0ABb0s3Y5RJO7hxD7VTZ0049Nkk
mBYtDe0+b8yN0CpZRzauluXOBSQ98ylNU1gAZsl3wP3vpX5Y8LkhDSzuCVztzqFyMTWD9EOK2VNr
Fclp1TbiU8uuLcUPb1n6n7x4x34TaD64E00ULqbvXDvJOsf8uE7+dwa+MLnJZq29wrmcP0nlt7we
2HnuGhmjZ2pixzpn+NaftVjlyhWxavbn0yDbp8IUUxYONArVJlPl9EWImWeFh5J9mmzpQz4r5k5q
w0xNbetcWae0mRNET7iwKOYRfn7FiabiXeWl4sye2b9tNMoREZVxpzlbratQ7eqLcu7FUJaPXos7
rBisISp1rdMv5egZt8zH/ABdzwpOcMWYljh4Y3HK6leP26lLoc12U0DpiQ5Day6tdDS0UMarlm6u
dKfd9q3CI4CmhJsotNMqze1C7RLlMgypcO8XFGn9dt3GqjCeO7DQoWPV8fJQQzwtrszGGIeIXUVc
sKQBm1zasDdkUs57Tcd9bl9Bio79TWF0mfW5RPipgWrS/CmPd4y8oERfFGnjNkHIbnuyMaovaTVA
COKF68xRygTKL0E685afAQzMcVWczX5MSyccJBuw9rpUeEwsGESJDOSul22XPYBXsJskGnlUGITg
ErJwwKmpa1yxS6jV6oOEWFB9G7phUg6crCKr6q3TMS27xUDH9ARDZ76aSvvZ1vT8OpdtwXWwNQRP
wDGB0IzMX6aen/+10gJP5zwOeT1HQQvu5cHpHTO9/d5u1dp1ZCDKYG1umkY8tWcELKzDdyb+6ySD
53DxnhM71icodaALeN46YwiyRwmVQ0theWGX0djZxvno8opgORb3MqWh4J8LCsrpUs8DfbYBTgyy
K/ag6kyuFq+8vMmfLF/WauUCCDnXZ5bk5y0bsvxMcwiRrcB3uLWE02bu1kVqmlmnupTd3LyYUqlx
2DskoEdaHww7QrsmKtARXZjIsSjd24AVcw4yiijf3mfCw5Xe0kdV9EKzEFEUwGF7m9STnZXbdkQz
E9A7qBv/fKH0gzOolW7MHEvFQSs3ht0F9tabMdLvmdxV960vy48a+hixMRtMcRtb8uxs0YtUkFNW
0gz69bQH6eYOAXyaHqXJtFlWIgxGJjm/6ORPcfCqa9qdcOs6mZ2/IGAK05UXuQFYettaFXIrBcjc
arXyNg+m0Tt0lHCwRsCqAzkB/F7vXwAtYvLbscZeo4rndtFBMsW9XcUbl/eojF5AKkOmjRMFAugU
KlB2iHEOFWHfuzZ0qBhw9pO2xBPOfCMZO+PGL7LCiQivrL/0OiPozQtyRIfdqdiN9DlWWcoJKEAy
dQr1nIAfpeNCRW3W4QvIA/+YirVdJRHcf5RmF4Cl1O2m2dqzPpwYQ+M9lqq0aVh6sZngm1/MzGGH
6s3DZeW7OsgC3ZHiAfECwodN36KTC1FldIoCyTBRBtHcukzYeVcbu6MOv5gYmU2Azv6CPmjJ0CBG
lw72CNRxbYX4wpzlEPm1EzBU+hvrsMBG0jYW6riTri2h9+NItp8WJAfcG38hG2S6gH002ul65mJH
dhD7wfaFzaAhP6J5mLfJucYyPPzJ5nJMPwC96NeqyzKzEyoY97S3PbCgLJHWvLeUnd+8cBEQOibP
35kIPhhbBGdQRjEGL9m0+YeHMMI45ydgr2O++w8PYSqc4OY7CiHIm/Fg0LTA/Yu65dNo2fgbXwAI
tZ3nCAz/oh8Is9Yf3BV8EHgoCdO+XNDYD8u8wcE0X37nHJhyUNiyXhAHQaYCdXihGyD2XhB0/oQ0
aGtvNnfMeJiU6haGxyhRlmLp1XAsZJtfAwoS04BmrTtJ68GOKdu7cfIEumFR8yuZ5//FIagowK9e
IwioqSEIuEUcICgpugwklvJztFO0S66hUprDZnHb1t0WColcZP1DHUgcBHFHwAEzHiYou8786LFa
qLNJ1H0bvcIJCM2BgfgdJVCZzYVVxnB607LwEPr8AhgwAQC6Rm0HmSPzzc/4WmTNpMDDBf0zKQBu
h4hBqmd+yfp7RArQ4hTWJ52rAh643YDXe6EBZAGahc0LCKBBI6JvvdGZ2RQEJr6ELtadalsZeXpX
OFM/hrw3qeqozzGu952/njf3CkwAbWjLbOLLF+9+h04i2ShZPlpD1Tz0gjACsnzoPaKJROqEY98O
yv4x0UZANbCFNPioi3HRSww6A32XP+sE1DOIUQWYLiu8KyFFcyqcDrfG6sanL+CdaLHu39Mxzjw4
FYn79OK2n2x9uFH/GO1z5Y9rtaZXiF9qWjzeMPgng5XWIOsDjcKpyoJp/8pR39PcinpYH3bYWY7c
Ur78MNJX+Wg8QFGcHoJYGJt2kDrmR6fYVn4Zf0MYrIN3tMVHn3J/b9ix8dSgIX/Q+RNn87ftHdeM
f/HW8Y7EWFy3Up/jjS8a3UDks1zjvS+oaAyc9t8d7dIfrMj3kJfw1+djZ/YELFRG9MLS7kgzWTZT
aoDM90v7Nk8tuwpfiNltWxsMs9BKFpb1ZZZ0//stKCW76594QYEyjphi40N6YEfbVO1Nbw9Y+q9E
nnas8hDMVnVR3+HLZsxP3kHVMWtgZNhc2TNimHk/mrgtzMhq9EmkB12mkK4PSLFn8THOptH54tR2
U8Db8Sthw8rpdaFFvoJs27N4FehRcMaicMgDI3P1COmcsVA2+vqchX3h9vp0kPNEF3PjmpOzs+16
9P9061qwqHSgPKeSdcxJdSeizkNpAPLBTRIkKTYqKQTFlPHoomY82jw0CNFBps4qbZuveqfNaxYA
bX0PtV47zkXKzDFLCvQ+bQIowwSKX3aMQUCQLHr3QYGFZQuTWZPb9/eNP8Yqjxil+uz7MP1kU36Z
A9eTTTSMru8aW7215NA9SegMxgxkI4ENGY6NTUm2WdqUleEkxuiYByEd6/WX2G6iB+U+TSblAeTQ
ksV0NlnsF/w31OyeO51pYmDDfJbPAwzCcNID31O798dzb2fJTA3RSuiMDlfPK6PK1bj/WktAq8wX
Ojr/r1XTri4g9V0NYjl1z0gZxLYtEW8pmNdYFbKcEd1vvsDbQfD6BRipY3Ml64kpIUOht18gc2Zc
REnmPRffvwAQ6FWjURUBgSJ7rWEu9n1S+iMl6fr75PF70s/rGIDXqQD/86+yA978o/8mqeD/YAgB
gUooSf4emq8pB28im14nL//Dcvj+Vz9gDoZh/2FYeGf01ZDs+A4f+FcOgWn/gfedCZtNngzmM7xE
f0U2mX/oBjNcn0E4vnzm4n8DHSwQEBYfCLjbR8+AquHfAToczcBfpvwYenjePEvH3LNmLry+mwUy
+raTcrqsRwtT8sibcNNYiJbDwhvVB1dz5tN8UjVEXL0Qj0S8qI/wqScUWEH9gxrCLUJq1o/b7HWA
1BqI9UY58qJxWEOqmMAwmHdXd9UrnY5dz20RpFJdml1tEOy01PFGeg0belD3aIjVaMtHT7UEDBEz
JLoQWRKvAiTOns3b06ufAyH0Kz4jpbAtS+MjUg7f2M+uE381UFhPv3kWzfVpfzWpf1FJ4FFBWoOW
TPfNI5WEndGaQAIoLvEQJAkssaX8qGzeGjvhzY2DmXgy8ijz2AMTV0M5NRe6ta94Dxu0hBrxnE7D
YISZ1jqQpLOG3VCV6szKegeuW7KGORSSzjIbnCFiKBLcD2l3hmsClje8C/ci61PSs17dxb+4Dj9f
BpYY3eNCuNwbGJ7eXgYPrjbt8nK4xCoc3DeJb5gbEG3cGm0tp+tx6oPbNjbKh/cP+3ZhWxUgq+/T
s/Cd46Q3rfVrvbr6NLsSux2S+rL2F+MSTbi8ZICPyj5O798/0rpEvr5q65ECLFWrwgpXkX90n7U1
msKO3vol41r7M6agvtzHwgc8VLTpVu+QK4eQnH3ytixnrH530xwLpPiVWDwdEB1ExrM6HB0eUVjG
C4SJjdcVDuZyCUaSsOdyj1FhAJZGUTjrXPr9WHZgWbui8b7SQcBjEsz2+eTSAwitMae7nzNh/0jX
2LSiFBT4V6LU2kjXGDuEDiO4/oS8QNi075894+cLhfyIZQN4B2Y43oVvL5TuSqd2nFiDlxwDn6Nw
BmqoFaK2N9aMf/d0TLPiCVk6s9alQ77LSz0L2YZ434S3LE04p4lHCZarrxmiz2fltKl3+v6XRNV1
fJHxzXETubRTsDs53uote3U7gZzMdBTc1kVuo/QL/EgE6bJfHU3BTihyjKgWdajBs0PsWZp6NK7q
/WD27b60AVwXZVfdtFBpABKWY/JpBAF/mAcKq9bp2o/MyfwoRpMaSiDKGeZEi61RnA/15dhqAxsp
CFdJYoC0Z8ePiMhUaXXCPKW8MfPkOmE+Nm1K6XWXIu7uhFlpFqxmkxNJKBJrgy2XZaOPfn5epo7/
GOt0b1PXN84Xyh/S2vSUKpZ7Pjtofg9NbZxBZhmjo62Mqi/twCxSIohFgFsJbxcPnTzAAzHvuhR+
zz72NFhuS1rETwEWNlqYJMYAWGeO3tJ+PaD4bg9GF5TPmWpdnnurKm5hnk7eRlE7nvZxL8OZ80A1
bwZXzAumLTVrtzOMyVDbEnEgA7sRu0+oYBxuq8Hq6YoGV2nMoDhCuCxOeNWY0GkRDFHbe+UDuNf0
zOyD9tahI7WXQa6ZSGKr5bMPuG9Liki+7FRBdoBGUf2Z1vr4DQkU9DIES7qEDmqqZDcJUgOscRwJ
HlTS3/VNnEalsKqTmn+KzNPuG040E/QN2Plcoy8yIu1qnIlwCVHGoSW0uqJhU2yTVRD4YbQMO8qG
HrVMzp1EWoMYAwDCljeduzQQyhgZYycIxWMaw7DrOY1T01weh1GbXmCKPUt588WcK7CTPb1MKVv9
kuwLNEU0p7plj3xKxOhQMqQIuVk2tzr8g0M+WxYQWa5BzEBGD+hspcw2ozqOeR+Kshi7LcSARCeE
SxjxVdrpLsqCYvbGNJqnMhDn7iAs7qgRiP8whpJ34c7V0jy+Ujw6Lqh1v4UsZ1gAD3Z1mfXBSvej
5bKdmE6EWhwYAfuBGBU2YrMYjwbQtzHejaUH6XSIqQp2Tp1US+gvDitmbRYr3jDttRK5AkE+13TD
UDc3SeZ/I6/HA8imN6ZAfONL/9JhAhif1pYnPCcPazJ7lvlk0FndGFYlKdD1GAhetwv6oc7Iu3Cr
+UQfhqoNHRNiYAjenlCXHnuaFnJZzU9aWy1GRDu4qEBWVrp2xXhEQw0h6voTDNegOgAMFOW2QPp8
s0gBBzmnlWaQv5NCIGa4ZqZiH/cKzCwvY+uUnY1Z7GTLN4AAXybL1jemhQ0J+X3jReWjn9lqPCo9
yiwDVCjUrjJKYiuREVllXM7MI3SO8ADwAV/ZZAbgJPkC8KZB5HUHQ8/sEyr5wg0RL3UWyYJZHC0y
hofLBrwNcPKNOQRA5NcLjYh80c70FfpptDEKAi8NvHZrgB9pDmlmkClUBGtIx/rvNkZA+4LbJ0GW
Oo0ZTV/mFdqfPeC7Gc8Iz5F5aSxQSwCzK1uz7uZyNOWl2wZzE9Xsay8cWfNKSpA88gcBTXQiRDJE
1I9MQur0tMNqNu2G0VmyM5zd4s7OTeezM8U0RH0QwBYWE3RuW4L8Mr48Gnj0gBaW9pCt4TbDVvhY
jiOVRZ7k6pZt2/jU9qnFZGRM4q0PJ4kZrR/zOU7ZYCyte2VcMnuy7A+DcIw7QzBh2MCNH/xQYMeb
tpiY8uykZ4THKN2jZ3mVaV5wX+vdenPmeTeQfDKkw/U028IP9W7k2qRjzRdr0FwYZ7zBgns219zd
FatkH4GtnJqDGILYvM57VDU3pl8H9mGy81FeiEmsxWc6T9dOobnTthkrDk0e3MJwwCR9E2GIt/74
9auPrE98LzCTl7ZT8ytkhweFrNOmWMKgUDw6bZkU2Yca1yVDU0lVkPDfWFNNUadXnWHP0PusNtW5
3Pi65UWlpaAxMl12jAlRwFuESpHexVXnYQr5RSwgDEnWOlnU1T1jk+AUrXMGDZx2MvcF0+fPY80M
gFlGPt9YYtKHs4QyNz9rCBrJb33eFvuh1o3LLki6Rzgabrea4zLztPGTQJ4BSqFnNfdex3ATifW+
NTmt6+h+/lKUhXM9yQESbwf0qPg0ulUynDAurb5hzFrXkIw4moh9gG9tM9Row64FRvNJ0+NqV41t
QvvYZpmb+zG9yVA9njGTyp3IMXsTx0jp2LyOUjO47wHyJNvSrHlMFi22goNdN0b3tWJBnk99g1tq
i9KFeyR3GLDsGLmoLS+ZsTszemm6YRyUQvGmtRQZMH2X/0laYXCnzZTpp0sgeuMZWds8AJkzPIVq
xuSjpspYxVAjbLFDy2Uh74OGDQZopcTFNHsME9TQbXxQ1nZFU+NkGVeRI/PoYdm3ZAk1F7U72eea
oGG/hctTqbMEB28a+s5QpXdUIiCT0a+idPSyQW2KlJzUTTAqspdqhnG3JQP+7MFoFstXG8Q4xfyx
FWgp+DAEQNsU/3RyqsXt+JQmuqZwTYIkPWSw2T5MgxYv+54ZOilAi+QmzUyRW9cw4BfnsnLbdVDf
Kt29sI0UBeJMdTNsR3QFSHL9GioqjUbitPxhINxqsqY+UiWCnP2C+Z2vak8ksc0QQSEjt4zFP9E6
Ne7ytOde400X3HOvV4TRBTWwLGm2Ab6xKkXgMMlHjMGjb2yKQnkfHSb5YzSibbaRWpXgC7oYoBEv
d+5oEi8sriYbh3k6zyxifs+9vk2ta1QppXvApc+8KZsmLbkoSOcZo2pgvLehGpPioixjvn+PE283
pH6RriGe+mHubJ772UW+DBwl9S5eqtJ/q5Py3zRJ3nRb/lVL5v9gJ4UC3Gc7969bKYdm/PwapPnj
D350UQL9DwNPGMwR23qVeR0Q5GizOgCQWdkQqJH+6aCs+Y+sG2xkMWbzd+xh0b2/5GHrf1gu8j0f
Rwx9lPWv/sqx/LE3fi/0mqb20T4jIIqbcsnErQ+Ggdfg230GWSFC1V7mn+pdRQcShWk0kol3M1lO
8VzVajmMgDe8EJ9xQk9/jotLy6r6xzx3B0IjvEG7xgJEuz8lSOXaxkF3XyxmbJ913LpfUpHlyQHZ
XheHcS0tQjLQD+wk8ORtPJXe/eyI8YPsW4sga17J8Wma++WzUrNzrjrp36dTk/ebhQFItRHs5Jmj
N1OFf2E8EKmVAUQkno6meCc3LrALEvIqy31GrV1+rXXvQLLhcslUVH0SWWffFLEml0iqNv7GvLO6
SrQXIVkK+wVP3eOCtOCzHSfq05QwkjBh+H/TLAsJYpA4iA76ybtGfBNU0TRbw3XuJNPF4vUEbQS9
PX9j/K19AJo50gBRVXKpNBNtj9167iYZfHYsI3l752aaF6jDUJIGG4J9089Lm9QnjJKHraPi9JHi
I5lCyyeXePAcRmVB5Za3s5GmV9KRB6dBcL8CdZJ9AqwaDZut9npDZREtVeXeVmmygAxCk+4RlJKa
ZKsYJjm4aVEbwLYZYj8T9DC1ITxBTw/TUskzHJGQfOKiIzi3yLf5AAWQoTUBAWU3BWc9QhOErDPp
J3rQ+kgxmwAUBYLCG+VV3Ukyp1Tumj48pVrsCzSuVdmEDLHb264cxSm9whdwKicHyrHYkENSXhmk
9OkbUFD5FWkpjQTx4amHkmHJxpUUOGcGgPN0ky4zIVykHQWn1gp9i5JqzLflQPRIjZAyRDXWAXhC
8BHZ4wSFXM8GcSryip6ymxJn44v228CnyBNdLB3CQ99qvqEpLNntjwBKgBss4kvdW652QnBCeR9L
soSVhZkEL2ZuEazrqs9Ym31kvD1Q5LZ2doFmMbbNrc6CMR9Y6LwoYK8WOgn5facX8URQheZnDS+X
RRNi7xkquxlnL72ukIMb5TNX14SfnfIy4dwSdQTp/hxE9Nxkl2yEqpihdRdElYE027CFehyd0T34
s2F+THyOwY44gvpySy+T2qC2DGzYhqHqk7g22h3AWuJReEJDRZfsdBY2OTRVUfF4r6q9pg/bpECN
VxsEuge8vsHkVFRZRgyropg3mifMbTYFEskQ/OiyMM5M4CUXjLC8zdTYwFSCE9KYHXDxaH/hR+K6
1+v5xJ06zrvEfFVtFJaLCAg6dyDOHB35YDO70TBIK7T6ONjhYRWnZtVXpC+RomBNwXgurYXJdFcV
+86RksSbaunOXHb/p2YuK5Ifa7tG/uE6e3JJxI0WDB+I/Ow2RZN/w6X3cZWau6VfPPvk+US5i96z
gRFwp0k0f6RUeeFQg7/PJse47e2CVcuvyJULBhvrj5ujd6BPyEQt8dn424JRZ3Ft2fV9YKM+hUyg
NgwoTnKR3LhunW6rBssKXZQ6zDOduc80lP5Jv7hVOBXuerab8U63rDTS1RwAE7CXrVm6ak+Fat64
LSoDlqdiO9u9cyAslPwNaIPTJoHWc+EEhb7tpnw6nytn+WSVtv3gVags0wIKwNSm6aknhXeHf1qe
tSOJbSxSA2uK17B2bDIaXF/IUSMaIS2gd6+6IdokSX69KNbGImn9k2YBUSa1ID9HVxWg+xiSaReb
BJ4J5qohFv8Eo0LRXVZSZXuPnvVZ0ZufcfijjUTRu2O3tGyQSQg6JEoHacZJ+TCWabElT6IuQzcp
OdumlfOg+loQfMmymZeIb60pTojoppCGSn2OpGO4ygd/fFaYoLZszJd9JUx9q/tkbOS2hzJq8KsH
OAX+NeTfdg4TLv8DllvUBFIDgD7VVwbRkdGM6ePODEzC3dglPdLHsW89pEwfui4ltNbo9F3Z2vJC
LcI/5LqNXLwstGILGbZk0U0zeQspvTn1ESh9tiiaT6CVjOfwdusL32iHExBIxtUAaSScRCd5qsb5
NjEq1wcYZmSXSHHEuQ5gEd1dSRxaSm9A5UMBS91nySyTKyMYctImtOxaK6SHtkyBIUlY8yMrF+Ya
ZZkuEKDadMdmobrMzDL+mIK0YkQGLPHPOTORIyKwyc5hvA8ngxljclmM6amCLkWKZLvcWcoijinO
EeSUxOMmG68bPnbJaJ4vKS6oZWxUsoEhknO/dekN3hTj1kyUSfFPzPBMOwh/6CzST2hj0Sgs7nQN
fzVONixMAKEzKPJp0ZV3Vmp79CdcY9riMWHbZNoLPV1YIwQsfBByRtKc9JYhxIPeoRAlrscd8YA9
0KEv65Nm8vrsk+2YcU1Ia+NK3kSF7udXS5NCxK9x6myl4XbRbKmJahmi1bMvlLuNCxxBoBdYgpmG
G2rTr9JW8D1yP+q4e6ap22f0lrbcpPGBS1lGsq7LD1Y7ExNRe6cyIZSlc0nD+//6+BU3/vNzldU0
C0WffRFvyl1Dt8z36uMd/f/s+W2J/P1vfpTIvv4HH6FjqYZGbDovM40fg0bfW/POWfmgkRtYodcK
+q/Ac+MPXTcCwGt82Fq9/lMmM510TDr8eHIZcJlu4Pw7ZfJRMx6n7Vok2wZoCf4nzIG3RXLC5opE
BGKFTNwBIiyLgHYifrrg3JZwYDYIv+vzwgWgFAXkeUWvztUvBlpHAwtaRUwTfaj1RLc7DGLXb/dq
FIDudsFGOZHQIk2FxLByAfaYZTRjUj35Dw4V+I7OcAnr1rF1t7dyZRjkQ+1to8cialLaktLXbpkC
df/Br+JUBuxmsF+xBXn7q1iyCgSKtsCIOmU0pJcu6gVmLjF5v2MlH+1xXk4gEELd1i1uChiXbw/F
9FUWpcMJDLKYMexs0qWS7rdJuVFSx3nIKxPLPJnwIQO15vui8C/HwtyDr6d1Pw6+8mC5i2k5H/1O
MaUIzVuKQK2xXWLvpnRbIxb99/zuHAXuqgGKFOggqgrv6ChD4luD6mK576EFwd0wa3SnztR5apu3
FQOc9++Toxnry+FWv7sJpYbb5FhG4nSIZFNDyH0yk1NGSfIVVMQ3P2mqDbSGMxfd6G/Gdj+fRvgZ
vLkdG1i7oR8b+uO0yEdKd7nPdVJJoB6RbqkHzfb937Weplej1ZffZTLzYb+vw4O31kfx1aNmyxhX
YVfIvZUpthWadg5d8IqyG2utXjm/+U2/Oouvj3Z00VBW4KsE/rn3MTBsYvyDiSJnqc1fYhADEpeK
4un9H3iEeHVefuHKfHcsJvvckEdL2ZzikUbLjOs3de0ru7EJZcWneUD87p+wtSwi2d14avbDrrSH
Z1fo/il+gBOS0xtMioHayskcN/3otV+mydIOM1ESGzMW3e1qu8bskIRG0S2/WZiMX1x/5EqebrgO
uqGf7jh/SFyzQRi2zyAcFxub8CD2IpOjtph3V+QPJtkWchVlVNFSZk/2n2QkTddIi9tLD6UIOUJJ
cEWvNvnNs+D88quxPq9POKjFY8FBHsC+ZoQkmM6mWzNOnQhZwxoK74otYMLhI0Qydvyji7WwISL2
FKhBf85IShVRNQmy7HCPIEvB7YCgcWMxH4nimkSm2kzms0Sa/aXpLtphKUht6lDcRqjiwHri/7yX
DEfuBY6jMGDOEva25u2AwJIZafX+VjbTqSh6ANRaSVUfO7QcSnDMdvGRJuVwWdiEHc7WUux6i+qZ
gKgr4jeXky7z8FPbyCqnuIzPdXT6n7S+U/u8LrQV+PStmK0bgWQOeXBSnJC5Ia745Hr3/t368wPi
c8daaI9s3sHeMUAVW4QjnXG96EN6Sb2cIqfQD0Y23cklbrdSYqD/D45I5x1zkkMkxXH8SNBPCo9Q
IfZ9HKOUtrelkXwJavu8t5gj0iF/eP94P7/bfYLPVx4vUilKnyMFzpAECja/FPt8xvNmKns8JEi+
t77Z/w6B/PNt6rONcU32ZwG7zmNiUSIdRWuq4S2IRPOs0TqDtiZxiu//oF8ehagdyhSaiZzDtyso
pB6tEtDB9hr6zh6DVKCdMMfzr98/zLH0i3WMX+MbaFGYxnu8/d4ep2AmaDDuY5Q9GU3EiJiA5KlC
wzRAdrXjAfCoxY2vexbzfv8TI5d9Q6jX75Yl66cXBqI4y4UhYTgWcrmj69d1bOqBHUKQoJu5HZl3
7xh6ip09iswPLXuxD0aNjbHXm69lM3o3RAMRU+fo6oJIA+uU4fpvKd6//E7IcHyEWgE169FrJbE1
DU24NexRW9cHvSewUpcMuGrRXcZDK8MUo/FjydSP/p42X8lVukr4CPQgn7Bpry6/wrlTl4U/kaM4
/imRMoRdJtrbGUbophWZc+IAaDytZ/zIuvhdcWH+8geQYABhimQLrABvry3O/aCa/ZGTms43Se+1
OznayceUVSxsOy+P4oGs2spzBW+svjplhvzZz7w7cGfBQbZxHGI0UVtGjcGHZvGaO99evi5ODKzb
T4Mdo7mZJneurVvuEioqcYu/uTuPNFIvdycblr9/wdHdOQqsQ0kzD/tZy5PTeAlqVO4TzQxNj0TW
s8hLDKZ5rh+sZlbh0GJQef8rvDTu35Yy3JmBrxO5Acjqp+Qgf2YtQRw0rAZOgtZk6TtPlFXXnj3U
mMr156ZU0yePZIgvyNSEVEkICCKNIEdgEkqGnUnccdS7TClx1I/VxjNlG6YccD85eEXsPDG+zrVh
sFR6t55FEwXad+RqwSf8Vjj9laOf0y0pT5am+ewp/dadORBmY0bFaFCc35zzn0s3DD86VH0qhDWa
4+iUO0CJ8JixIHR5+amOcZXnZaQtOEybxbF+Uyf+Ytl2KbnZeYJTp1Y82lEQ7O3WPYvOnt79N/LP
geMbKt/YyCt+c6T1k44uI0daFZq27ZItcfQwE0UqCe50uJP65A5ja/KJvi/klmpmN0EwAJNO3dX8
U6IQfoeY+sXb14UKs5LeeDFReL99DAkJ77DlQseR3vyIwPB68rqVo/2t9MQTW143ev+Wfak9f/qt
DiFQBpJ6OHdHlxCT4TBlGbcs2/D6RlrUPTM54HOdqhDM/lcG63dNVk5RMrcUN7TUQjUkJChTrbz/
VX55MzmuzZuFeCi0lm9/eiaFcgAADPvRb0SkryMcG2UUvM4mCZ00//b+4X7x0nSRBnGZDfbebPLf
Hs4FapRUZKDs57mf9gk5MeEC+vc3e8Rfnl+DTgZ3EqeXseLbwzDXSYidb4c9e2Q6smrCdljjUHBj
XzuMiNzIz8YKCEi7JJo9qUK6ASVyKu1sYZjzm+f150056tU16Q3ltuc7x8/rOEtnAQbHl1GwhJBU
MsnuFzgVM13nCqNvO1QEJjOKIFVP6r95rI5VoOsKzbrocrKp21G4H91rAt+9adV6v58NO31qvV5z
sOck4mogUxpBottAa4EaQICnNgdItpXblU6k5y19zKrz0iIcAX9fqNTCFm0KIY0QVNPw/P6d8YuF
hgkwdEsefeqcY8pbyhRpdmq327tT3O+kjfLDZjK0pZbPfnNKfnEotBM20mLyXH3Oztu7gxTmoe2Q
wuzFElffbGv2PjBGrLCnu/p/8LOoQcF3umtL7adVra3bhQhzu9s7ZtZ/AFbj7prZi89Al9NF/HsQ
/4vm2S8WMY5EW4QSEbHvcafCXOKEPHCOlFl6EsWibm+rBFoYbzcUqlNlb+wGFNP7B/3lqWR/TcoL
OS/4At6eyiTRoe6kTrdHxaTCypkYM+aVGfU6rsP3D4Vvhg87WjWpNPQggPVJastxxe3jFpfJYnCL
2OSS7dx5BjCVpfa4kLAQr2OYfjAjl5q8DDtLjdqOnaOctgv6tupD5Ts8XJlFj/EQD3N5b7YKVRPu
dh/8Uwn+YIPEN/1MCqV2UcBkHXZJWib5ZgA/j72bn2SFZFOj7QyUMxq7EXn8fOZoabDPUFYtW4Tc
GPmTIjXuXGmicSztyTF3pAJM7tbCc24+BPAbqq8uDD8En0Ae3PRsSuEgrSbBPv04lI0xH0qMvfCP
MqOCb6u3xmm1II7ZD7JQw6VT1dIny1zO8Qd3QOK34/9rIzosQEbTRtpBAb22UHZy4Xu140USzgRU
bKcrbxX8lvi0r7XmhIwSTBtz0puQF9LsvsKai4laovY+APVN2tCXwLV3M4HoybYCBNaf54rtJCCX
oB3L/TCMQfG/7J3ZjtzGlrVfpfHf0+AUQfKibzKZc82z6oaQLInzGGRwePr+aLsP7JJ/C75vHODA
sKzKSg4RO/Ze61sheql5wm+K+vRSGsh26DuUjR02pViLq5QUns8eIqd540VMwRYfgvZjIxD8HdCJ
ZfPdGHlEuadu1+/g7QTeA3ElPgONWcfDiSJ22rf+xBDexSAJAayJl2ULyCs4VB1b1K6I1vYfKL+A
oDcl/Gcsf8V2Ksra2SrINhZk0EYcS3+4p8+7H5CwvwLXKN4Kwzcfetjzm6jMpqMxZ8XOaYPboZgJ
RVX7KfGqB9BmG030xA6HS3ogKnmEI5qX+3jQZ0fP49Zu1Ocsl+5GDHYUDtnk7BFgfnUdY2S6Nyt+
h847SFgkOzQc8uASMb+hYl4gQQXxRbnN9MXrUU65w5xtKk9/XlopjtpB5aynmdC/4gVj0k7Ctb4T
QdntQE2ldzkD/e1gptbFL4vkGhl1AQkLdbtKo5dpccRBGNZ9muIEQfUYnaLAZYyX5QNFhfK2BF3i
YlHeco/z8NT2zH/Ji8ejt+S3ECDQobrdOZ8mSItmDrqqZw6bAfDAa8RofWTMm3Jn7yLffUDaOO2s
0U/2y9ItW/LEhzCyZ/uwULo+gA5q3itfmVdV4vnh3LcynMy++y6NttoaPSYIn4b1watrQboxKjAP
IPyJaAP7pGZAyjQpzjZuILx71j4X81uJiPKtSqMjU+THdJjfELJWu9HE+twN0VsJdqTjDSz9kx68
aq8NuHvoqZ/ywI/OKnKATMa1vzMz1+A+tGjJswDTN+eGB+IU9F0bd/4DyAr2RUddgQrxNsWE9nY2
oOW1Y3P0nT49gt1Gp176+rurCFiHVIhwJMx12i8zPoOWDECO5rbZoZCt0wAWV028wcbm4XktbdOZ
Qq/lHMFmyiKRxcP4qeHa35Dok9IeiaqNn1u4UIljMuq+xme/+Bf+od5NvBC7SNhiVlf+PMaj+gSQ
xFNgQlAijXm4YIz4ZFjO3sxiNOMGKs/m4Bl2/evkLXlzdPLCHsISRQwYqBq9ypVhyD4j+dzHLF3M
Whhn2rOmoknbItLtuFKbPq+KcPFL/ZTQ1b+zi8x+isoqT08jQSg7gTr+xhptf1+nesTD29KMS1Jl
gpmMqCeDoG923mIWl4ZN9teeWDS5K2YoB9koUudqIt/u0dV59D2guT9sqQJQ/DWRNsNl9qdn5kzl
967pmOvPpbLekSt3IUc0cRtUdvMJ/fQYIheeDz0Vy5M/u9knrfg5s1Gg9e3t9ryswWPpVLknvD7q
lS4cY5AMscxqMOFJSJygfSNhpv0VBl2+zyejffNaSAWQ5Hri7BAQ71M0kq+iRk6N8GAcQxmJsg+H
RfFyFLYhEIy6eRhLKbYZBdcJ2XAeerSQd5xKg26fc24qj7Bv+O97WBdIW8ZVqC5Si1SkeIxS2FCg
NbYlo0G0OEmxPoPGeI7JS3o0y6TY1B4i2D1Y6MZ4Qd7MV/RWH94lthd+VZnrF21Pw3hNWEx8m/qt
H5JdulzXPag1N3H5qU6THlwzlY+6t8WyoRJpzxKFxS2q0ead1p29o3EmGGbzqsIZLZf9Mkz5njgm
XNz4AePbomg0GSciEbe8RC0vFXeXJnx7zssATHeSNF86HXewPTrrSaVc7zTLZwAk1XzwSf04GkjI
LgaP5j0Z0GuGNCdMiEELQex5m6UHrmx6FFPJjzWwsVmd254bKwuuFq2aL/3cdG864bountf+Wlsx
QJ6FcEeEsMCyzlCaZkwpvfoaoOu4dZfWICu0DuLbKV0hkoiby/krSn/XBylhjw7kTWeE/HdlsS2j
CSTdY2vAWSXGrkqyihVqiNSGNCbrqbFmcQtXOXpuZBLfSDHU7zKWedjDw0D/gYPI2mifIlIMjr2L
yYU5z3AVwxhbxaUr+fIYlqdnkklZF+MoPToNf7sxjfh2CFq0aIlPbNCmMn0mFk5bnIh5RInbBzRx
Qib9qAbLnv8g0oFPVv1Y9GG2NPWwWXjPaWNV6nWeaVr7nlZfvdgV2yiai5PV9etTPiTgWxrk/49A
OfWLW/cDONSaX7IQZv5ARkTz2ckS+WgESwt0thqTW1IqKmuj3Kp7K9pluvOlGl7MZsof0vV2213k
X4nMglruaj4oN+Y9wderJ8Cok1sXjt6TnyXznUnI5XdzqdODMaGr39C0jx4wArin1kyqK+mM/MR6
yR8o2adn0nPVV1RIrnFeOlriOwOK6HePcFm4KUMS1Rv6LarbVNIYq600alwhRHmWBg5NGT24CUeu
DbKjdj6VWiOOSgaepMVoO5ZehIoAA9I2uS3yrLZA8S71nQEqC/jQXHCvTWK24Es6tV9tA9V/r32D
M5M2S7gh5dh+N+rMenFjhMp6VNY3qTNcarx67T2rxfK9trOGzCW7mvNtl4nhG0LpRXDPPJ79puGy
SHZydTDHHFkajmPrabEL4yHoTVYzT+pvU+O392Rt0fhv7Qatzdx8AsXU3lu9H9/CQiepMBh8FAw+
BiSVrEJrJLkngH/9a5umlXnfGb5ija/zUpxqvCTfqai9a87E0b4Zoo5FDLUufdPeIaoscvz3Rfn9
TVQ28UHDgT66YCZPLdvmlYN+bNgIL07vpKuaPa5M9QyPCu/Dknzv45p/pZqmCSPdOF8EAtK92+Dk
aFBPhrYDFFBoRx4srteGiaYb5sgumg1Wr/mBCKvpjiIEcImbRS92EbvbwqgfIc5ca48lEa13ylkG
2NyI0Yy4A+S7Q0IAV9l0fGwub80RpwYuJNYNNHWHyUyN60mCCqtmET3KyK5PwZQOMYsuGi6rYtjY
WsI8Ab0963mG7ca7eW3GY3dVxV51jpMKprJNWOsUMP6jhfo5EJiASKCbHvJaO1/h9Jzb1LRY0vAs
L45qd5W0GnRS7mWaMveVehtiB6k8X4i7Ys5U99B6DfvURrXHtCyhINVZPb/6BLY+mFUy7skYOsq6
aMNgNNDsp219BH/zmf5f+QkuIJAjr+Yi2QZ8YcR+ODe8eXaTlfulTghSISlGBobq0m32CkfKJbGG
JqRCHe9cP4eZlGXqcWgNyVIXxA8DWHigTJF3N2Bc2NCYnkENRe5nzEjyBTtacUxT72XKzPJAuzSh
DqSUAzQyAyFNx+Q69WncILc9Rc5ifUnMaNzDkDMPhNoRxpcOTjhqXkbVJD1ALFqF8TzLC8WF+5q5
AljJVO95nViA64zTaSzb4AAWIfgO6M1+nRqXPPsyWFAtlO4TrK5sO1HD7gVr16WMVPGyytDvZ81d
EhqX+96jLtyAk8aLjSbz28KoCWVY3Kc3bcZjkFbkK0EwqeD9Ns2cbNwSpubUZB32uWQTLL29HTxJ
Qe/GgHLnKT/HY3XsEX/ByHONq3rOpvvFtF97rHJ7XkUAGktGoSYweJO3d1O6InrGLEKZ4ep9zhKY
bRq/Tx98s1tCiHv+Rc3pSn1Kdoko8g1YSXGL0o2Ai2QMLIYWxXKa51pfS2Gw7ZS+kfPCyercxBPE
zMxB84u/bPUcdcgbN0DbeY2YoelraC7ZW2m78kCOd8WWM4HBbhdisAnKMKa7ALn31Uwzm1Odp5HV
DUQZn4MxNR+E5567zJuOke63mhij64K7fFEVbkvl1gXD0bGHkq36K/q+SJYR9RF7F7wFzEw553zu
6mo1E4qFnA5wjTidE3+jdW+9Yd/qTrXtfbEW+S3q6vadirV4LyDqsGgp4xmlvbF39BDvem8o72f4
XGEBeYehd9AvRDJiPaUcmo44xnR6BnA9uqH2TOUdvdzCkkbsTH1roHHGuzd79S3tm5pEKz+LCd8h
CGnhGRUZ0UhZdW+3fnkvU/rIkARZQMmq678Wyja/VCpLvsIJgolnG/zAFhUAwr6sfpxd2x/fOioe
7hspcnusL1AMtSGdU9H47CgBKUnslvTOlgL1OU1//qiOUvuJ+piTaV4m7jnOJ/W1zKEIqEHRRFDz
UH7P3Yquglr66N1UmfWF/A92+trFpabaKXq3cyiGW9J/DdCdS6S+GqIxyo29ECm5W3JRPSJZZ2FQ
yTTWey8mcnfvBmhSw2FKeDwSEp2QxFf4VBM54FQMwFe+C0vwd4JmKjqi5gKgZm5l8hhVDmjCUKOd
rvFeIZcKK1RaHoeYiQ/NUrdSl3QRPedGs9JWsh2bMY33FK/8ZBTg2O/ckfZjmLjk+hyA0lAC9ExI
AUNMZXCVJaZLzlVXUrQWkeQuGWQWIbufhuhddxpoTTzAMUIAL8rv9gD2bzO0DvSFEafH++8XU2gj
HjYO48l0u6g1jMyzEP6irZf1wSGYcEvigMq39IK49PiBq0eBfqw6FGlGuwdlQcoBE+T2sbHoAt3a
rZisPTR0cZlBPD2KEUUFt5B563aMWr5f7gn6IV1j5tlFoWLQh3JG+HEd6F5/15Le6GawccVfS8MC
MDVr+1ChwHwt8cHc516AGQQmn/mEIUvNROy6GIDdgS99tLXJ70hVzm+dVhE3T85TZTD/I9YHt3XK
u0vvP5lD+jJcRQ0yp2eRsNXXlNMLkUQjFfGstPqG7jsrDsHQYZwcgjLNsDOmoEsLk/dnM3I7l2NF
/+88QqIgsKjuqehE4jbZyUQaWu+gLxcZi0uKmpV3igM3mzD717YcVnheBZoQj8gCM+M20SAd27WE
LLzKhoiGNvDZykiVbIvaPDOT7o5jOTj3ZexPV2iZ0hegtePziHnj97b6/3m0nubm23//v/+vBtWR
yCP/1Dr9AXfz+k31//WSdnFapX9Rov7xN/9QonreL8iLpERTaiEWxID1H+SNb//CTCpAYceRj9b1
moH+v8gbE5GqCVnJBxOKsmptwv5h2HK8XzCHSBSVkvrcJrTl3yhRpf+ht7xGqyOYdNnJkRvwW37s
LbPzFFUWJydVesOFYlw4CIUadcGV7dJb7dnk8sGxHpRl0BmgQDExyYBdtcYjq6kBFjkavH3H6fuR
SRzmaKcIXlK/h021IoshIwf1pZ5Eux9kiSBzyhNxUhFGp/2QDdGypV4Z6V/4glw4l5C9UAdzHoqm
nI5t5J4rnzQV3Fxry4mm5bNV4UDeaNGhUZIZvd7xxVKsdqtKY35eer3aUOkvpnodjrvZcE96mnXu
63UnINt5ZNhhFHqLNbZ9EGxSV/wVq6GZ7kE6rY37NGoyFVIOjcfOaevrZZwrvBiO+bp0nb5ksFCe
omZ29nOnkjs7wNBJbbN+84LdaGeXMg0Juyv20hO6wlM9l49xQtgTZXqzzRR/7JmtdYFi9lznYHFi
ZOjXvjvvfV30W3C2NSTDVVSvUrd/zMmEuwNa4NxHcGrYbMhgsxhvDHzjwjeWMBhQoVJxuDt67dZG
Mm4L+Z3z0FFg1HBosZ8ZngeTzXnFtd0cabRfeS7tQ2tIbmOfDNLQnk23CD38w1tXjO6GSm5xr3qD
jE0682gyfbnAOC37YzBW/bOr5ozKK12snaFt9KHwGcoNYADB/RDD1eLbxz4zP6WsYeHAd9nlUf8S
VbNJPdQ9zzmA1mA2q3fQ9/PZShqPAbSfhCKfd7HF/leQBPjAedipKEXqguTYsr3BaF9yqQvCqzcN
+dS3MRRw2rRGFBqJpz9FZDjek9qb7UQsMboszbee1NWZsmVB5s9Wc7eMmTpPAfBiggRwxVnTFWq7
iKAFSWe5MqJ7y+nfgHhynuq9/JTILoovY28W+p5ktrr93MWxejfHdvieMs68lxSXlyxunUca1FlI
yO9wJZRqJdSzkks2Uh5eD7b5Pk7ucGM0trGzR/ObW5Xv3jjWimlO1Z505g5EKTrmLRufBUO4m/1P
fpwMTwuBOMxNo2In2wjR3VKiUjua7iBIMJcUHmSdjuM7Lr0akgiY0GanDEi+sEE7yl3u8k54Paao
CkvNva6XghZaYl5BNCYBfLKYb+jGvhuF9WlRwSezw6QFj2iHma9sjoFMm2DreknbHTRUgIMZ2/JV
RP5THDXfTHuIUJ3Aod91qL+PotDav00AxmyqgGE6TQ77GLPmPPATsI0g/b5RbXph0jWeyNsoFQ/z
SgyF1Tva1ypQS3zwo6mLt1g4P5VwoIaHrp89fiUFnGKI7vSAHKtr84bBrqNDpeW053R1mF0nOeXA
89p7m4SG8ojylqBIn4b/JXfMLIcPhU1wM5m1uFbCiXaeUyenpIysXdv0I14UwwitRvqvbgcEZ9Mv
FwyfxjHuVXLI/QK0gbSNvYhmINbmPO45Sq/hI0X+NhEgGZZZO14QDTFC6UvaqrNFyI9CWZrTnLhP
6jLf0YTSG0mgE6Py3N2SwdGes9yB3j8MzUG7CvkB2TDXI3MvrkC2LE9tYYqT6P3umoa+8TLGYTIU
l8HM47AsFMesdO2zT4bDaam5UNu82WTihjUTutO0RMtO8F9d6DvV1xa4CeoZ15hQ0dWtbYZoIR3v
lEvts1J17T0Bi84TKrlkK2VDjSksXPxzs5B9anCm3gZFnn9aMmx87uSNF+Fa0Hw6/V7k8JATPSQT
/Qt6sIharc206Jtiiefv9Ow0f+p5+0TEdAG9tBkOU6R+demwhBR3zJQSWVlhbZvDKaLy24L8764g
tL+zscg94id9rGi98ZZG9YruaMZRbssy7X+1K3abnYdv6IryLdjr2HqMKZCPjlGal9T0AHBXfnYo
PCrdZOmOijpxY7HB7iqPkAerMvTR7irzZJIDDPggT05ydKedhDh3gSGOaHZNtFCNaV8NqC4vE+bm
3WQXD5FkCuGp2DuMyAZ94Mfp9yGdB2hVnu/irmLtHS3ApASbtacWMD7jqDgnEXxy7jqr3hr1ZM9b
wSt6TWRRepOaE1z3ojG285IHIZNsC6tlC2FmaC9TSboL/jt6nnU3IWhoxl1Gk/gKbEtMY9ZNTt0S
fIGnUp5i0X0FUDHshnz8UpbusDOt2ULdynZjdcnJJyPqOIyFE5aRf6PpKoJzcG6cEsa7z+zufnTT
ct8Z6iaes4eBNNH7MclQ60hkQYxaeRuLm9ijaz3JnMbGlKI/3Eit5F7QqA+Jy41pdwDmRj88zc9u
Ps+bceC6PsCcjuV5yci7vp6VGdc7m52z29jp5NCsokMS0zUY69ncSbhn6DiAYS+PZWoGxtuoyEmG
HufBdoJpa28hT1dIdabcKgpY2ThW5yNTz0fhdTILSaahlFE4c280LUAeK2GR9ZPB3VyzWMpvTGYm
kmeGpYXcbhtJSKMCZ2QzTK8liNKz12fWZSBn4dDOxsi5vSS2fmvNuT6bsIZY+ouKa6CTngQjExR3
yYrp54b8PGd+FlLPZWdNBIizQUpQPviAJc6lWaoQnesOJNu4n20//traA1PnfhR3avbb/ei31t7p
yE8ndoPlFRIOFyif82mfmHH8gg2WFK0MXT+hGuo3Fo17TLvF1aG5AO8a6wGXDbvbQma12ziXrhnK
ZNcD0LDUBhY1PW12LnMvFHvbBmqPn22VhxBzyYvkPCurihlDKT2c0GkPF+yXxsloW0nhB3cr36C/
QfcuGGht69UCzcQQAUmNzJloE3SIYU7gySdFCrYV0tvK7n1g/g9ZwPAD4BSo1nqduzNDnfYdXpDj
YiXg49t8gjZiMuHH/tTN/St9qgBhZmBdlZmPVaLg5r8tTurupRIHuAC0otKFAf3Gh9bI30+jraod
DULIWI21qYp3Dsdq7OUyI/TH8BhZl9L2T27qmq9k+WRI+Dm8bePB8fM95qFK87j05jbtsBiyeC87
h4t0qQMSjb2c4BRPkEzHHY3IPSaCHYtslye7sR9o2XSDsLd9z4CFKIykvGW87VtbCbdv14vkuhFj
sw/Aj12hkRYnmfjYTiv0D/eqgKWzU6IqDm7FoI/cPOfs01XXYQGa7+tEVtd7QM39bM/Su0QuTOJt
Sv7OlTIpzUISKuLgmvwCB8KA99aXzILAKmCvjIW7L4wl3toTrdjOnpduC+VLfnIaV49b5TfdMUUz
y15iB9dFBjLPBkO17dvU+sx6mp7JCLZ2c+vKN407dN7mXelFewP6NQA5c7E3cV92e7LpnIeBUMQd
3CJyImYv3+VuSrNxKoedmLS+LJ4eb2YVjw/Kyzvm8uO0zQTSJ5IZk89ErMDQhBAAzAmyjdw0VtPt
WptmWVlP6cbBDrIzZCL3HOi9r3ZlT1eNSpcb8CrNYzNaHhYeD9N23VvqKahMQukss4hDMWfBuZ4h
a6VeYZ5NcqP2Hs/rxWxjee8s/Qg7rqlP9mLyAYywN5bnNru58ixqfyQBgP2Gbe31yLPyoqz2o2zE
ISP67UTPnMZqUIxPzBqdvWF2u56Erts07rB8Z6W+yTzPvrBI6JAXkJfF08S6aVY+J8cqmhhtQxpN
JvFrW2W9zfXcYlBn3JJ3bnYB5hLtCKoFhwAj61dsNmI5eqSL7NIWrxkA0PGrLCeiQJoimK61baOK
GOF173871P7f+f8n53+bIoCj8H+kYT+c/6/TXxNiXas/G1f/+Ev/a0K1f3EtGxnV75nSWC3/c/QH
4eKSexyg+EWhIVwO8f85+vu/WD7sFA72jkTTth7I/zj6u9YvGE9NOLcISQPpe//KhGp9kLJhqEBP
DkIG5SbgZvOjY7KdDDznhYJaznIAFkvHZTodO4E5P0pM5AEblGxlfZXlljE+/zbYn+jqN+QyEIz0
2Ut1BZtxNjP81PA8qIcYFboFD29st1DvgqhiFWL/ZAr3pyv9NyK8tSfxJ4maTYI1dlIuLfAtsfpy
/6qH8xXVS9Qt3cWJzenBSipj+3ujjrb1DTJK9Mz//IGOz7368JFkg/PyMzrjePKD/N1ICxIx8LNd
aPVc1b1nZFvieCx5yFwyQej3tUaL3IvZYoBro+VM42rP5QA1EGqDu8GqT5GX0lFctLc20mU0LAe7
xwsPPwowHP19bPF4hp9wycJKc6OqvqCwhVxFB4oS2sqjTm7ajhC/rZiIm9kzO+FaG1JPD8VCU5+p
kPiMIJGGTdaSNYTiLAIE1nkRTLdRRLTyfwfESe5Iuy17ZliwMI35epa00jtOvoQ2O4X43DkM+gh7
YeK59I110/kEHW+ZTSJSG9MAK7y1/uZQN2lwQ0KwnyzLWKlZvwH+VJe1nwwkUXexZNAG/C31ia4T
dvPJ1syptrK2GQtPSclvFMzCOc1rDfDctSJBBNQatvVELqalLnaNXP4Gn5oHq9GbZfNmOwO0vb5T
PH+xYvRg2DRZHpausp8MhxoBswCDk3fHXpN6UjVxree+pnFOHgetbE0XdtlGNJLtDQMH/rQZ8KXs
7GyNNobPalI6mBmg4UhbZN8Ry1MmoGAcvn+WV+IzMI/oZZhl8KKHlbaM1LArwzaV9/T/+dGmarlI
6exyF4g56dUbTD3dHN2FTvqO67hKb9K1tZwa8GzDSfTt8jgviEAYbgu4e/TMqcPIEbSfvPXiBG0K
wnGEo38JsNdYYVr0hrddtB6vk3hc7tHYcfT6U/Zay/6NVbBDmrMpAsKgNp30Rg8BoV3s3MiLw0K0
HN7+PouNIrL+HGe9uJ4h4r0Y2gPXp5viznHy+DOYmfSI0MclQ4uEmc9VnOvXhhP2RIAUjyxRRdOd
HjVIwSQbueJAmPL5bE+SEZ6oIRAislP9vZ0uhgwF03o0eGQ1pNsxLWV3a/Ycp/egQgxaGyXDCRIj
ZhddlxNmPJH2r+OabbhJKWHG73M24zziH8vsezONE2oJlBAE2gHEJNFMfFaUCviTqOCeZnu989A5
WrkxopF7m8PrKdG31M0nrgwvl5cRS3nImxqspzIJ1HhTkZgeQGnzIhiLx+qY2o0tD3lhEqRqLzT+
o0l1x5hBM4mckT1BrBIt+TRghq6cauDSe/XAp0jSBZiL87YFu2nK1qFKsJIGB9HVlyrJ7e4Jeqph
vBiDt7RXVOtGdzdPAb9JMaNPeibgfA6eqVzL/IEsge5IhktHjqt2nNOi0XGTplZyLSlduZaTSdYu
krCYC9GYZXcEFgefkihh3p6mxaWAKowHGQ0WN642SNkAA7u+FH3n8lNIRWUNhe5kP6UDQretb/mJ
fJsKf7BvsyhgofBjC5Crh6jnBhIvFbZflHwmkD2Enl4Ud2ADrQ6JK6rNuP9K7lWfv3asEIy1pmgR
3W1dVhWgE3JwoHd5RWx0Ozu3+EnAGbKzaj3ueV901k2G3XZ69Sm782+CgQg5Ue5MetiuNKl7bkv2
n4XycchiMHcV3R/KypoO+imxnaXbCAtRHgeC2HwnIQNEZBr7N5VjBm+cURmwL9ajp+Np3FKGDc+o
OIxdTtcn5MFYEyFpjdPRJgIqipjplojvNpaDRClEDiGOBvkN41XtZq2RvsaJOyh0GUJW2aZuVo1h
QXW5DqdelACj7JTmuwELddNX63CawnmTJuNEpmdux18KFXnfptiJNpCUqtueAMph7Np5lxfddC9r
L34Xjq525arvqCvlPPhtVL1jOCj3dmXG0dZbOCmZvdcRC4IuBuFay5GXg9112sTFs50pxpKMxPZg
pKaNoadpW5F0tNPwJW91sZRXwtU0DkavuGdZb97p9iSP2i3uRg/i8IHhl7tv53YisJUsVw2i9TFW
sngeS1fFDAGq6ipgA4Px1C7nwgjyve+4mB0QXSrM3HAEU+3UT2w6zVslyiZBWaWqPXDq+jVBcsGl
JWiFbjO81a1E2HfTyMnZrHmfoGQ99R1KSxcS3uce7SWLoe/a9o2IId6HiSnQlEyQzapQdba+tIzA
D37R0lHKCqc+ecjZ9rGw7rOobg7mBBW/4zu+ZXmHaGayNYl8cwSweWYScoNgN3pETS4PhsLQLBB1
b43MWPw9Igt5g9ywvbBgQ+GtqvnEOYmQ2D4HtKw67G82ANOW5uMxqZR80qlevppmkV0CjsmXruqw
bv9zhbK6Kf5aEhG/QQoCr65rOz+URAxmXCYwPTIDWbGHeYbJFsNjyzpXQV+NyAvhb22NUvPPppHx
kv7zL/BDNeliEeV/zFyDwAGU8teajEQYx88I5j1PPcdKZO8FFnWHXdA1Oj/MTF1fgCx0P/nUD04n
KkHPE2L1IVNqw15fy7Y/AxaiJSEdTwRnBqPIutyUlanpbSi4//ztPkzJfvscpnCSep2ra5ofrE46
gSekAs6Rbr4yjD2zY9OokCWgjGbF+vcf5uE95HJauG4/GuUsFhEjpgo9+8VIZ6VO3JNCErE1GKXt
/vmjfqykfWJfuG48PfAhPzrF2hhosjGZ8uzI2bqpVjCXGGFhIFNDnuLVP2PP/M3nWRyELB4TU0Kp
/2CEs/yadaMoxXmBY/Ly+x5YJUzS0SOj/A4V0pGfXc4fnxEf8x9fE8sTomPzw2fWldua9OnlmQ4o
c/MRnPhkjfXln6/k336KZ2HOwb1t/2DhJJ5rrKJUyXPck0uNCAnEGeLxnzwaf/cpHCgRPOG657n/
8JZJEOatINTzHNBeCiVdDZo7NOv/+bv8zV0SKJvxOXHa4bj54YrlTCbSJq3F2aarfYA+wT1B5gbm
d45666ZvQAb/5Ej34/LBms7LzNeC3cPH/vVFrlIdzWMh3TOwQflmDX58XkxNKTIUdbCr/Bmli1QL
i9c/f9UfX+zVC8tw/reUjR8eSMSHKZIkYZ/zgZcrqlmmeiYi5AZI/yd+yb/5ijwcUD3clcQKLeWv
X5HchI6PKu0zQdYlGd1WfVlUj3Pe5YHJ1xPctD41//774UcEcoNxG4H4hw/VZlo5SSCtcyHbDjcF
+tXC9JMDB52fvmi/aQX+ugnhjcMT4uL6w4P5w5uW+HR0eZ2REyvazFiyxMhMyCweGr10N3VWYFeK
ZsrkaaSuG6m11I1u9UQCr6FcDhe1+FzEqG8sgHlUncj1kjs/B8D8k8vy4xOOeMLxAHJAUaJBs75n
f9o3qlSMJN1GPOEryn2bRmnzKZtINN0wiuVRw/j9s63qI3KGPQRnIm8VuyMkhR+YSnFBvyRiizkb
KJ07XCYO54d+mnrwkhY7VtJE6/OepfDFh6L9pLVYCf7otR5aZbeYj2JmFXuqJITJUD+Tf/3WExsq
6AbxMnDvPpqUzRarhvZ568vFp+g20fRZseGcVeFUwGZbnNv/8tmUK/7MtdZwI5jEHz+wTdVa9M/L
WbuoYhVmmjVtG20TG+tPEVM/vOh8GH0jmrZQ3NgOPqxp/mIH4JGC+TyhXb0DPBNcoUDnlCPMhlPS
P3+zH5bp9cMwiVqms9ZiH93AZW5YDTa9+YzLgoNlnK4qGl5ETon//EEf+Uu4jlku171b8OUgPH14
kAsYk5NsvJENvAPmb3KGG7ao0vv8OTLqRV0axAPdzo1d/4pgB/JbisZzGAEX6zZYt9MD6TT0CYyR
w9JWWUvzCWVOdzQNSSuLrhcmp2LtfoxgrMiiByF011eorX8GmPjx/gj0R4KGaSCcHz3raTX7jVcq
dbYRfIdjNdSXkuScQ2zO/7rokQh0uXAeIjss4x+3tz427R6zenfuMNGfoKfy/RmJBzvDnuqLWwEp
+skus+5ef1oYXbY1zyfIif9H9f7DXaqW0rHaTrhn2U7uNyltfe5c0qR+a4hIT9HVaZdCPNfTZP/k
JbM/PiK44cEfSAm0F0E9ldBq+P3TWucWUZ+6Y5qdLYtO0oLn3Jf45GeykAB7jsyXvkgrzxH91spS
N6hceAMdhG9Hu5+xr9o2aQjmUNJFXH5LcMDVvdb1Q8dytXg8R12JYPkw8PPviO78H/bOpMlto8va
f6Wj91AgMeeiN5zJYk2sUmnYIEoqG4kZSMz49f2AsruteqOtz9/63ciOsCmSQDKR995znmOg2SkH
oC7Iv9KExiWctUcXBfqLXpZXZvAw2GMqFtWp11PFUNJrCI0gkqBbE51N3y+lcRSiz+/B5gfRYKW3
LonYgBlEmj8OdBvutNcae5KUvYdyEsa8x5qCnrlvCbc08ZSZZ9rSZsFc0+0kEQ2aQXnqMOFHqzIP
m3KqUV0Uc3waglis8dS45N92QpEYjCA2dpFwlGY/lK+L/LzkN4OcCy9oJTLxNugAtH5iJPxeECYv
zdAJN/ID4Wb8u2/UBJB4JS3KvdQyVAevTylKinrmv84YEn8cPjHi0XmR2XKuQdJdfVFFhqWIbnk8
rNPFbgVJS48yPUaBMV6qcc4V+a5lVp6Zr/btI9nn3BALmIfeliKv0ks5mzwvdNcKUjJMDx8F0IIz
XrkSv08lmrexMfkWg52482+wdTvnVtcMrdc+CkBCL3C6Eh/Q5uSWDHzcp2pBZW5TK3HOPVcTm0uF
YmQXpy2zaK8i4HNDH4TOVTsrGuFBPnn2treXaJzOU8SazoNdHGEOd8bTCGcD7Xo689SSJupXgjMy
m1CSArVLexGxQaJbynJRD5SLEKXJMBmqtWHEzrHvNUPDDQwNYz1j9ccVSJDogztHrKCiQHewsvwh
9s9OHwo47qOBer8dRR/fMZqjpxXgUSLriuBnC6WBpMsYdeaon0XhkukSxC4LDD29Z90ZsebZcD0H
0LNn9c2RR6tBIbRSJ+H5ONHBjBPaTLetHH9HPx8+BHOPRP3agoO9x4ex1Sh+5L/EoSITp+kaLK0/
flaexd5yTTQafDsJXgu8x7huXOIgxChUfKDbS2/eah22ce25rCK4bxRGiuwt5MHN0jO3k6b7NsV4
EnZjTB/+x2gGkedr6NrLQSJyONsFpe+8Esm7dGI17Xk8aZQ/ozDpwF8ffz5Z7PpB0bvyz67PPGKV
Iu1MdiVeluYmJ34XbnJlMGnIGFEOJGb1DhlB0oriR7jXfBCBsAqDUGY1lwJiwPi1gwFg9DR6XNJh
glISy+KOGUb9JAF31ukwnn7DccGSTYLach4nUdEFVsSDMMJHt+DnPI8ZA2DCQPmxrBWHaQ4CIae1
/U8czFPww+iny8pGLtdXRrIKwzmnN29kbnLKNFEhQJtpSu7ooM0BHYHECVFdmCOtthFG9CIlmDvI
Zf/WSf8I8fzFnFQs08O/nFn+ZU56w1/TfU+nv85J/3jRn3NS8eGvQ1IOBn+ieuUHYGyg+qxrOUHj
4H+mpLb8sGSpCdNkbkk/wWSA+qdA2vtAvgaHbM4TAnITr/oHiRbvT+2cTWFEAocj2IIyyXp/SOXw
pXQA9eOEUKpVaxtixuOAsWFnI4TdxzVJAr35LSHo/ljVjoP0BinMBclre9B+3u/tGpSG2cam+Ysz
JlLxd6eKwOLLuXT9oPBx1HwP8h0bd0JCEXhHv3er8l6CeL8PZg82W0Jpk65EVz7FwjGcbYzSp41s
SVZCj+QUFH/4FhSFeGwg0dVEzk9+7n+aKyO6m0hzbteOasSXHMc+gpSsrzAo91ChmBsllnmfg4Bo
jI3DMzg4DGk4bxwzLVq1EUAXUkAVqGX0RwVcAii3QRz2WrpZfQmwlE0btHpIhY20oL2lO7EtrSnZ
jlo+1wH24m4rh8B+wBvSfZQlAkf63zmKywzT4qobkvpbjtbq4oS4/1Y9z/UENElJyENA7rjYAeFR
2am1ywwrOTZTiAqd7Tyixdmk+PiJzYLcEEbGnqOLPtVRIvZdZzffY1PpewlYZeMlzQ1Yo1NVes2z
X8Q4o+U47f2ma2/QDPWn0egNRGhzDQ1dJt5dDdkGT6PaGRiwIUGgg7kYDkpadulFhVSWnJoyhTAz
ROVsdu5wa0SozOculePaVxNBQnE/niN/fgJGkN1rRLzIJ2WB62jwRLRDUuZ8Y2dLcBSpZjXS/ecs
Ar7Bu5hBWl16SnzcOEH+4Pazv7CtMHfdAsxv7I/JokYZ2f3v57neoh2zdjAFh+eJHXFVKJ7PVA/u
Plu0LdVV5iK0xzFs0b7MiwpmtAFj+kSgr+xFIzOazDNIuGBYsihouOo1cl4eAqiAzVMkbHmSBOye
1FV+Ey5KnGrR5JSLOqe+CnXSzqieSFqa7+xFx2Mvip6IpPids6h8ciSCK7r3ULGnnoHQVQ7EdXd2
KEARCVWLXihl2a9sCyFku6iJ5kVXhHp/uJMYYG7coem22aI/cmqVbVtjLhh1xjZfCJ2SWhRL3VW7
pBcZU3aVNA1XedO8KJ1c/pK1MWbGKgwk8iUmvK9WlKh1fhVIMXe6rfGbkac+6oODdGJYt4uoqrnq
q0JfiSOjhERv4G5Oaj23Ppb8vuQUvfJRhgcrq859i0RSWtaMuuS0ySLU9nS3QuPZ5YyGH8zIWvy0
Go8A1kV3O3Idj71PV4XMrUydI8z8EG0Grh6IYfwO/ZKy0ise1JYL4SQIne/5sLgqYppOz/NQLWMZ
Kbl8c81h2k3CnV3KcG0F8fLrwofvrKKMB/y+9zI721itHB59/FHu3k9L74iZ+KNUw/zNBxy+ZXrq
HPFelKvYm0ivqYRR3rETDl96RQwMjkxvMld5NKPqTWOdyjVShWFalY32vxbgXrqNW+uRERk8zh7h
aUWInCBHYJWDNqVi6FuVnydkV4s+oO+PJdYzPHFsIjDECFW5x8/p4RCMI+u+yRykmGTKEVsA2G0k
eqfJ7vHjVhSrAaQg4glKY6cbgR+9Ik3jzmM7uMmVzOJVF2YkwbVFfcFN20L+yCz7NqyH+mzUlOwb
365NGA9J+eyjEM02oosdUhv57x5rFJU8eYMndKb6drCUeoitIf1Ipl2BjLoVxDB0+QalLijDqmTz
dZs0/Z5ERGqSEhNTsBi29oiFnDLjcwUxaViPdS0vlk1VskV/H3FTAHLoHVNf+ZueoT/QNRy+RIHK
1v0k+oto+/pAKMeGYbqBP6Yr1cFEy2Cu2lo5N0r2yc4fev0EnWjmrCQ89Uj32vpU9nl88SdS2w6I
QaIHWnoVyWrYE2ko+6r5igS3yFeOKNgd9ILtCbE3vlIg1bjaoHnecpLqy1UkBleB/A0wfKZkPNyj
KTIw7/QNb5dF+PfY3+VFGtiva99rvsJz5C0iac5nrDkcJ8lSO+rUGrf14NZb9obxSOB2+BkboOAP
Fh37PD/yFPnBEgSMiL+bFSGXJnplNIS1fxYRfviVP1kYBc1G1CdJxmN4RNPU3bSB511v28EI1E1u
aoNAGZsv2Qt/y1TlO3YeItUCp1qn9Wi/oJyojknl+w/EyBO7ZuffrbqRLEQ3te9HozpjS2bLcbNz
NAXh97HB+Y6vdoWfGF22yI0NLdBqW1VOcjdR3++d0kAyNc8jxQ4/dAf8ZTDcgTIy15bVWRuYCxZW
Yf4ARmx8TYa0ftRYhW4ct3aYxFSq+AITrP/e2xmlMYzcjUYVuV/OJd8y4zqErxF/OvD72ToSvw+2
RHGqc0P2Hom3gY1OKiAEceXaCs8HgXu+A/rJmJzNkGu5+JiAPG3GuTNfvKRti23t1ek3pwXFvJ3k
Es0bORHkpYSxLfL7rKWLFCh/eC2aICO9L8Vqte56U38BIpG+oJjndqlXw0n6ewNey2Uyvad0DFFO
JnmUb21wTWRQNsq+pdrFXAT1zLoPU8gxHLHKr1MZtru2M0iibE3uV2gmWOJhRxRfbbfO+Tvj/s2C
rL4lwok4Ph9T721QN+LcsJ3xK2omfM1zb5EfHptWtcqClrgRpkPpK+PLL40hkJ5Mwkahn8jqlASh
4a/41RlLZDN+6HWXhUMBFojQ40GZLZ3rZHrExxc/jVlvkk3cQM5caYg0u65pLpFcfNxu4N4qt1Sb
seQndo6hpbsbSaJ5s0Y0YyOJz51oS1XTb0Iiir4PyVij2K8r3G2zIU++0wzLAdO19DZPmHpMYm6d
lR70fAwS4mxXEoDguUVr7uC9yjprNaJKIRYySfpzjfoLHyr7SILnwQGQw/FEf7ISAswfe9ytzr7j
of/IrxZlOCxzJ9zKMvNOiEl4EjjwLOpDiuFu3IwE34c8WgFMrMrMDp7GkdTfsvaJj8Xp5d0EOmWj
VdKu9kHpZcmtVujToej7+V1SBOOLtmR9Efbgf61D7BelB+pmldJo/I431zhRmtbFvm400WtGlJv2
SomZRwYYxG4f55V4sOJI5aegiiW1ul/9jqbXifHaRuYRGmxmrouyN1bwhzxzM3a1stsbj8RyIsau
tcq/5a+/KOsYAFiMiv5v+evLb2wyRfvXqu6P1/xpfBUfHEivNPjJkUC2akNd/qOu8+0PpJ8s8Nk/
CjTe6U/jq/uBis2yAovCD5gKEtc/6zrHwkkL1hyvKnRsRLP+P6nr3nfoGZ5CSEeysChgUb++65sH
xDvNcRm4h4Be+YpKh3FVRM/tL9fk4UeH9z+KLn8o46Jt/us/3/d9AwLt+Y7Uo1ApuRLvppph19eW
XUbhoUuotoDbMBULxrD8WtCAfshpKB2RbtLZLGcGgX//3sv9+qnpvLw56mIG/Fw2JqvvviKKgWy0
00AeIkcyePB1A0pnFLyvC4coERYyP5lXEoNnbG+aeYp/Gw0UPFtPezbn4kV5xzRqTxxAhucfClWX
gtVpggS9bZKFZMRNGrthFM23XeOHF4IFh83/x5egTw93XJoMB95TRE3tVDbZwfIAFsnajk4573ID
aE7sD9PH2jZhRogU/ayRw70GalR9GRZmj1tGE5+P2dmDR5XxUDZBsDJ70DWS3HswKml2HGWPPKkf
xHMOoBcXwwyizcj/6QgWvTAqDiYABJwsCZvvOwgNCLGObqbEa0HvkhkwNkQa3/D4fsX9fTfV/PFO
AaJxh3GQ+y8aHJdDMJsn79QjjD5gHuPmeYCndGvXj6YLgffv7867H9H1/ZhpBkCdadJgZPt5smCJ
pihyI+P9olg/sqNwBu8i+Yu5+bvJ0PIuaK8RTgJPYojynokvNdtFNtBq0FRxPHDQetoyPqRN8Pz3
X+faMPnrmIZ3QmG7WOuXfeFfNgUI5JYcWINoy0R2nP3G2irJmpkmbtyU29DPiDnBtVq2HGp6NzhX
uIc3zkLmUl0x36DM4/A2eXRbvd5t8LEQ5LfqhT0fokUbVWbUgjCfp4+MNoppTU0NMixKBmSKV9QV
UB5rS0hBfGiYinwaiAs//P2X/DHe+ulbBmiL2Bp84n0WFYn/810LaUEjUNXjYUhsQZlWDrBIwwaT
l053ZdogtCDTEnaJgR8bEAuLNzlkedLtelG1u7TS+o4z37CoGO1Njd7sk7DS+M6Vk4OpOc8/uWDt
NKzCJyFzEGd6yATN7DB7tsxU7hB5F5sWuNxHFRXWpkBWvid3WCR99JXtLD14rQscD+THAYFhecPT
RYH0C62tHXnAvQo54eWL862iK7ZvAIg969BNjoxk8k0hamhIFOnfFc2zdY5a6+hUc39fZWKoVzRI
nHMeMEzvQ8/dVsQyriGVdWuvgwy1bmn9HFJdpi9YIkkzoNgo8sm4d2U1vU0TmddBptptlLb23g0d
OjyJh2Ue5qO3MfzZeXSVbT4zbsg/+ZFKf69IHcWKbcppWkutmLIMJacdpgnjZz8oQBfmlj7A3c+O
yZSM57mW3r2HoXbTBnEhV4ghh/uO+vRbkaDLZ0S/NUaZkHOY/makRnCLSppGXBRHW8PXJwJb+dSe
qJnayOPYG8VdGVZM8MYCvFCktbEy/GJvVsl5uZ6kx8AqYpLNSarEnSdy+4urEGE6ozKP8D3zswPo
4KORpVTignPnnegMBhhTryzO3hnCynyw91Ypg2M3O/arDr3mgTZJUxxbs5Prmmbfc+rsClWxIno0
r11t269lrctdqiwSE6qRdMnSKvRHQK5YrdJx4NbQG2hGcmmheu+Ush+tECMZe1t/bLMSihZVZrDS
ynqzNfdce6J6nDQi19BVa9x/MHairNuQPqtXoPyYpJjmqbIWaXHkOIg7xugJ5sVtGHlf1TiZB9W2
cFQ5g24T7X2iCn61ECdvBt0kiD4R+7d43nFlanH2x46kCjeVq5JeCOAkCoEO9e+q7c1wRTyJYovq
FjFxsYQalOONEURynzYg2iYjCL8YlZr4MGhelIUNXKV2iaXdrHsWV49Kn8cQzUv0f8Q7DHG86SLP
2mtITjcuyQcwGUpzrUd3worQmI8dqNkAwAESSXhqSUXaockdEo2ob6ZJOEdVjNlB2LF58Et+Lp4x
lURryhpVcAeKgHxSFJTMs1qO/KOZFN81UOPPSSi6t2Uw/dnu9XDKg6A/poRRkuRQEV6DOH5ft2m4
dkOzP3aC35cx0f2E6ztFNuJgZN7HIib7p96I2stRakf5Uq2MHx3SiXak76kjLvZq62QlVvipC1eS
yKC98GoCPBewFpGhJI5BeT2jyk+rDYMuCnsYQRuv7CbiYALgW42Z7sKkn/DD6aG8M6co24QVh4K5
p5zQpQX20cpB+EU8OcQc0nwzu2rLaBewJTq9k++1wDg1sAxLmdPN3JrNp1kOzj1SJPNuis2624Cu
gG1I47P/TSR62MgM1A/8C/1d+WO080ogbipuizMcaPFsmJwvEKOq+zQdOJ0sDMmyxEjuRZIEiTCj
x8OoC5YPssv0QkOg/pwkNmBbk8l0jCb7AQbVtCcl1z4OTo0zNZLdS9k22ZHJNMBGQ5mHLHHYe/RS
MwFrvvWyMjzN0uFzTXZ1Z6s5PPkN2r1psJl6g+9PNwgvq63UPd88jdU9/ZMBBAAAzbqdra3jOtH9
7FchtBdn5jWWzJpPV9Bqp/EYDGknzX0PkWkdGnSlIQv6OEvbNHGBboMpFWwM65nx9R797XwwcWGs
aYygmEXMSHyoB+Q5yPSpx1qPyhvQJGfg/iXuNft6aYFCmLIeSKjrwCUx83ofFoZ70+rSuEy8gdoY
GU/eOfQZhrqTcr8OSGsWKoNq6f2SqY3lFVqEaZH7Rw/2sxm4Nw12gr3f1+W+SSyqXs6L9o07QtCr
2RSE7uy73q6dXaXq8ZinFgHHWaJ2pR2qxZD1TK2KQKJt4SakA57t2HzQYSF7uhtRv9dVP6k9l99P
v8O/qNWZJn0NnI0QcubPBdZkes3mRtOpDs8yzKnP8cM3uL8Cy1F342CN+Xy8Pt7/XbD+omBFZSWo
MP/vgpVZf6v+Yw0pL4uLn4BNf7z0z7rV/eC4ludz7OSEZAF//J+6NXA+2BbVHMcnh7HnleX0R91q
ex+W+CgEsxy/LV7Gq/6cR9of+F/xdFqMJE08n/Y/qVt98/1xWDL4pK5Gq02IJ3JL++fjm5+Oda4z
AIE8AxEQCpgV6BSaiN+F1Wtyl9u+MsG1mcxUjqE1Rc6xgJMRrL25wVRhDQRT7+x5hEhSUibVBwMc
/kDXHgccDnyCnt7ymKPtFKI7r3BU38FKc46t0zHxnyy8fVmFbKqPBc+ZAS80nd+FLZoTH3/Gclh+
oS1YfanMmTE/YcWYgoZCBGfBce21oFF/l8vcKNYlrHlv1ZVWUO0tcG9626TG8pKrgiRN4unBqlv5
AnuKNx7A93LgbILxEo2ufMljMV40GpxjyDmFvJwKXvV9ZBVpeSoxVQUnJFnNWxNgCMuKHD3E1SYK
3GCxRC38v4nquFuzrfE1Kukg07OsCOEb5p5n0xEYDBeVSVka3cEmlePjPATjQ2EjjmI6xgPKg5J9
98PpWnF+fvlhO8N7h6LJl6AX95Wcm7dExwv572qlajLcamFNSTDamv/NIWvsJi9d93WKeB0p2HwA
Vwx82iHj3ThbWM9JCD2GeZ8H29yTI9/aWQR7QWqjpYIdypMzc/F/dYNp33mgO/CT+erOTo3kHKCI
4fgdj7dJGPeEQ6Enwm7Ka34YREgB4VCU4yXzNqxrrvCPG0qjjaYEccfyxeqWO4xtfXzgljbNZw/V
7ngeFsTNZkQdlG9M8oviRyO3+AogPBepSa/4M2gWOCSiGC75gHUGDsxVmzNg5HPXvoGhlFNE7vaH
Ks2V+Ul71Mq7LJ+NcgXi/HcVLgY6sy/ky5QNl3ZuXKp05UGvDUHwz1aTPIK9ks6KhyoBLyK3nguH
BchobFm1oE+hjDMh200E1INJCS3+9AkJj/kkLKLWtDHdXk2qftuzGizdcGel3dJRuDpTkXgik8K4
tPhKoobFZ1jIUsLe4qeHQql9w5SCsMtcbLJqqPkR+nLkBpcVY/tVQIY6RsOkKqYTyTjIKFPJrHUL
/Zv1JvhZnsuKHL+Dn4T20Uh6NGU8svncMbSQeZWn4XixTVJlgYPmrBiOZei4Roe3LGaywFb9sk6m
BZDZLbcosFv7mLu4IgPR8Je1tUnLA2kBkBwaGwzT5Bbua/WFyXn4cl3CpERwfdMGSNvyY0+WRRou
puLB7rgkV8XnVTObzxbqSGDd6W7pB7zY1pJjs2hxbCAEAQum8/FFZuCiWQHLT6LLIKFDA+XiTYrT
Xb3oLWMR1z80pjWMN7Wh8kIuNZThi4HIzFhVgEJLHMx0KzK8y9nKK1GAAnUiQFi5oD0wivJ1TJRh
P/y9tbkYvil6WWCGTW+qSXuuT6gxU/dWy7dGF2et0B/beMBKeR7KDMx57S3y66vfpAR8PoN6Rb4O
oJa5xENy1R4aupnYT3HkbohQ9w/osUzksCAhXdzzG3tQDN3GMuX72lCrht0MdFRtJT8Kii6dL65M
mx0rt8pBXaZmrG6jBJvBFY3KpAGJnmR7phDEFspkl7/H8WhupaS4b5IW96VphuK5dauOK5g746Vi
occrBl31l9QM64MUTbRnaIJXeHFiemmGY5Spp56fGkp/5zB2bJH2zBce05QVZUiQpxsGF+IZFutc
naLSx5lrF0RcnPKQdl9i0vHoHAuZWD+gBM7iRZwdYwXZwm9nTZFIwQJHPspt1c1SluIYwnNKdtsz
njcMuO40TBtYIcw8ciZ26U40LUamxS81yEWvl3u1uIsXW26eCz4PoGnsnL1cVo4vKPFOTqL56y36
Em9RCs88Vi6re6F4k0QpX3TsiuSGwl0fOuETU3Nd847l8CKz5TuvmdrxJwApcdfFPVJbbKB8T3N5
jNDzq9vHnuyAcWeC66RF0bRIAZS9rEc5oaGr6kC+GPZiOPmxpeHFjxl1+wNLiWJQd8ckaCj76t4Z
ENAIQzw4Hr+ujDTvZN0NXF4by+31F5f3gfOCXGgUTHhdrXbXnRVjF7LJgeH7i2A8VID3wrT5yb2a
zRnG80FFT93iqNZ9RbQht0lX549CdRbu2+KNJoI86qpaHgY1TfjVFEbswDKbsVbMLhtZxvmhWwdl
UAHkUqoQ6t6a1HRg+7E5/Yuo4wgB3LiAz05gr7zJQbpC2PfDkelWE8vscU6y3xIzzvxgje08euFR
ijq4dXNuUWHyq0m7kb2W3yT0H7YY5nQDGgT6xdp7K4v8pYyEPslw7MxhRQgjjCvP1s9ElB+JhuXq
Nl6RPQMWqG54xgQPovDNkN9ub++QwEIDEKK9c03M702XRbCTI/Ux9muXJkQRfq2p3ojdqEHhSHet
W39t+gm/gVWXM4kdDm07YZ3rqhs/kYB/F2JBuSYp41NRd7uqauqd4fnyARHHKsn9S2gRH/lp8oBw
8Zwoc4/MVlHm7Kqw3myHSfJsm4xsK7NCeutZcwEBrHVB7dROsq5KKz8IdDGK8X4VrA0ntXdpgU4A
6Nm8M7txOEFFStO1QfO6X1kFnYDd5IH8O0iWJXFpTeeOXH4lb1qyPu+DsfVPxPDwmIvH+hAzfmZW
MYiPjujLW8P0insSTYKTb4WsXkFJCFeo3EZBUi0F64iPJQXqSb6LeUtwKZ2nxnDH14z4oY8ovj4y
LK6zc1Y3zmOdKgaebTMEayIlJH1xu/+9mbT8pkB5okRiBD6zyLa168ebQE9gf4xEHsweTtE0QhjM
g2pUa8dJaPKgTb4NiGmabrle3hsa1GI3d0PIczw2AVoMH6VMql0a+3rvh8NXOj5rN078b1E9Thfl
TgVastra2SlyEKt19SOwMMXxpwDJM+bj96SD95D44UoMTXMbxGp+zAnXWZeM4mFjGs4+lBCSKhk7
26hunmvZoRXVHicj+khAPVHuskUhh4ccQiB9xLnh1OVanKxGG3TkSojvsnPOJS3aNRet2PZp7T6N
Hs0aKvhgC486pZPkgQwC7vfg1AmG8eBkzKm45yEAdNLpix3ibe+YaXt6jMhKsuFZHiyj0Xt4lpxZ
JyQpI9X9wUXVBO1zMr404VhvSDaQtzPcwC4m5YuRjHkBIxjAR8/aj9ZoGecpr7J6ZQQ+rxs4u35r
+0xyLrGs+UTpWe8TLCefE47vHO86uN6sbyt9XoIkDv5gG3emV5trnrz+Jg2cHUiqaQfDID8Opu+/
Gmn+mXQWNB3CzxZohm52hs+yAYFFJ2OaSWqHWazWbpDWazZ/iGFuxoMoUu2xL9y3Cgny1moFbbDK
zJbdShynRNuvoTarehOWzfiZEzHeVkNzEozNYjOlZrptEWA9hzU7Cju/hlpZCoDyseUfzGa098Sz
TBt0VmDzaCkPZ9UZvlhVdodNnY0k0Fy71jUvUEYysSUKXdOx9ZkcJZc4FGO3EknuZAd/bvrojc0/
IjGAfgF2J3IVjL4AS61CWvElHnwmJ8pgY9KxB9StG14MOuMBj73QQlaFV2Cjq5YKRNVb39PlLX04
sK92O7xUXsDwwIN/L2ksEdnUzttOERwqEz/eeVZmfhyiMWCJo+cneyOGRN9bbKQ437/jrY7OUZ3f
qb5tPpF61t3kOrj10gIWAaeBpxzhCJBV4G0rHIthe0rreoo/NV7VmfQwPNmeiGKerY4QpUTubNpq
NaxAsUDRIgq38D5E3MVpFokqWkJmoF/COmNTD5NkqCa278mEr+sK9EZ7lAWkna6tzAFpHcG1BkwJ
7K+zvwQKNtXOgnzmrYM4sCN0RmT13NQmrcxdWnLk2phk9wSsHgt8BnoXuVVXJymYew4iHmLybh3X
VTadTADjl8liEsdZFOwHSr8H4MGcz/5S8f8/jGMpnSHt01yx7GW+/F4wS6RJFhM3nBzCUiK7z8sS
rsTszF3z2ZkQSO6cXHIaKQuiAzwiFXj4/v0HeB+Z6fAJwC4t/2CYxad4N5MdlCfK2WqjgztKkqNA
qEd0eKUIrTthNGSgtYBVyRaMVXTTVuFcQA1twruoaEl4MTtx55RATv/5ZZF2sIzvSTrAg/tujFfY
XViqhNCLAlz8Hiz+GG3HGCoIJzKaem1scfLpchwoG4P+7y/m1O9do8vF4O3BXeGwIJz5/XyPTIG0
K/qZazJhAD4kop4QnjQkCSTcEDVBZZsR5zBI8EPjKJbj9w/MVO/UlXXveFOfYvvBGqAO7VJBV3VU
JL9f2S1DsVBW/vFNXGjZrm9LSAC+eH+9egli0DaC7ABRHoC8nMauWSsvpQmpXeli9qlypuhjU7/m
wC8vdUuv4opJistRX/Ki/sUcViw9n7+O9NDUcgZyEKOjuRA8hn/uCRlubcwd54aDTrDMrDwD909L
S+qlocXDXAEjFi0F5rNvkMXsY9VTXxQD7pi90DyS101TLTUYV/bvL9X71GjuLQ20JbHSC9DiX2Fm
f/We+b1Z6VzX6lB5DFeXHI0y64AmDdofORXZTfFUKZLyjlPJsXUzAoxIT71j9ZfO6WUDOHaQL6Y5
US0713OxaCljryAEEgQ4vsdRw5k7hEi0wnssngtp8ssmEYFuSerrEc4ojcG3H0VpnMMI6ualC1BM
FdbHMMZy2ickLi3nuFc0maytuQmAPbrAU+Zf3CdrGa2+u09MXRGK0TdwyPN8pwdRAnQi5EYD8Z7L
HmiVSFZhPS6lTjHy6dn4iRuwgt54KqyZ5slI5sdrPMXd/DRKuP9Pkb1Yhd2ZqLUkc/hXLhZ/jj5R
b9tre8i2quVma/JVwMd02PjKiA7YOvYraGBRjw38ByoI2xPNG488BVYIBcHb9d7/uxP9q040jguc
Gn/Tif7tm35t0p970D9e9EcPWrof2AcdZi7/iwf8QzslTOeD6UIH8diw5VUf9ad0yv5g0qNb0gJ+
2GX+twXNlvoPLDCIr35etuSgufx2HZrOuG0We//P20tmdwY9FtWfbZq8vbqdUzQZXkpJVCdTcQbi
5UxVfoThoH7jTIY9Dq3f8EwqtHdsyF55yvIgnBnp2datFolHoFnjnUesZMQe4gfF14YqcmXZ2tjh
yuw+O0Q/Qp3zOVT3lux2knH4nYVjfp0y9GnpLzKyYrjerLHA2HdtlJPBtrQBzB4bRJqaxUM7DN2F
egHZPdVl+qKJaTotLJpuNcLI+WwClH7pTGXgv8SpdslUkF+01b54QTofYbeOe7b+6MGr3fliikxf
FjIT5yk+/kzK6tYYbA5f9HhJ8rTTde+JcUvSCPzamECj5y5OxlffzynbmhL1qTPj1KvrqnkAEaE+
1XnaTWuzTKqNHfXWTiofDJVbq4s7esm2Nx34/4ZZjGf6StYZdevHPIs5zdMM9xGL9Fh3Tbuan3Ff
pWtTjN+IEtXNysbIgHm7j891XFCKod9uvgIQHNRq6ZMRnpTkd8GAV8Bo1XzS+WKKVJMNE64P/MUY
iFAqofewBBskzAaie1LxUJEnI7mXisq+QVNyMIdyOI8K2H1hiPhOiRySVwuj7IlmX0fXVabr1kut
e87kzWGy6uLWr83h7DTFdOBRYb8mjl2eEinaJ3K1MwbpqZFuCZ5o02WwHxwxBXS3s6jNXS18YwNP
qHg0aNg+tZPTfuHRnP0+WY35bPUdcaPpWCy2JOPOBsHOCbX9zLWCsFuPhXwAlZJ/tnXc70RQEdvb
WuZ2KFLc7KZrbBHhj281ZeQ90m+MvSMJutLu45pAnimC8GdI+d22k06va426hEwdvDWk36p0S3CU
elzI+im1aU24bgjlm5ZXvwuAKdD+dV5RIQc3V7AOCqfqztECtjvDbciFM2i6Jhp3+HMY2xAbnJyr
GbtpFlUBhbVH54UIqgezwpUcp9F8n5ItVa2I2jK+B6WNcCKMGiFX9eBlKLLxOt8Useezfyl1IumY
aSodvc1/s3dezXEjaRb9RehAAkiYfSyUpy1SdHpBUIbwHkiYX78Hpe4dieqVoue5YyN2NjZGLAck
Mu9377lLNvI5xr7xROZivLSJiW0iq+2veCIgN5RVrSiyC+eXOqsMudKyarwAox1+oM9W3izRkMZd
CuuUU9zGwMPujMX+kUqzm1a9mtOca5KwErN6IqQR/D7s0eRy0AwKSiFjFxWFZrTggMmvOUDkbRe9
StDOy1GXMxkU6vyRZaS6nSjn2hdhrW9Un8sN+H9ki0gUw65XVeU7dUxXbTTVN5jIw5smsqihrm3z
YxZnQOS5t8enNoiccDXC/b+37dQMfaD/2mZORLSXdpAf+1kViJIIMIFPba1U26KadJB2DJk45hdp
fq2lbvjoiKJG4Lexz/hWXQesJHE1r+e8/IKoprsrukzGK3N28omfRsaM1yelPYaqZTuSYGYMKPcJ
R+gdIil9QuSIGeNYz1QDIJOcOAOKp6YNKPUKK8jc9TYj4aKPV8Tx3DHmhwtzSk23japCagzCYbKp
ax71vtXvaTkxJvshdHLOn50Z9WqPT527/ThXRqvNfoe4MFZrSxnpcN8kY+h+tsI0iAo/IqQ1yIec
+GvtbNwKktBW6/su+TI5VSXSHQJr0/Dg4uH27z7gd/sABrTs0///fcDt16KgAV29visQoh9h+Yd/
zaMtoL9MeqHrOzg6+b/+M4/W/8DEDKgYqfHssOa5/ddmwPiD/5fN0MMwBdFVyY7kr3m09weHFybc
gnk1syXX+kebA3sBp3y/p4VlZJm4SHTDcgDe8ud+wEtk8MbnvNKnPWjGdFqTf4zFWhLovqaLghQD
0xAAknkeN/l26OzaWyGxNQfLLYVOqK8ZsLNlOv1rNY2IUBXZEuFHw8yxbrzPleqCm8G2p4t8Evra
ilGbVzMl8xgXtbblViPFMtsZIQ/NbIVGVHFCIzXADxgbxJl5p+FzfmSO0xynpI6u2ZnrG0eb54fA
0NCXLSbPm8bDErdhzFrfM/cci71Ozsldi1F3XumwxVSXCk7ItJWYuONYj9M1tyeFMVGxJwoaf9WE
CD8PNJ9djfybZzmVSb/mwWFdRvBPSbQ5rd6vOFCy9vUyRPjSBnmLApBdKHYUN3EZdVdqaLWdCBL4
tHpAU0bZqXHjDgFkUSdMlC/5UvxxHPqVxqR0leU5TW5eFegMAaX54DZ8zUJzUO16zEzHwqYCosAW
vjeMOtyQyPBWoO/FcZi9/LbTTHsLrT4/4Ucub5PebW4iJjsGJvW0OGKNoKqI3LOfDpGzhaOk0+bg
5ldkQkN9Mzn0mKyatJoTv0Ayx37eXfal9Qy4tbsXbVu4O7chwb82GFJWSJBuSpd8bz4CYjO2BL/c
HSOfZPTVHARXiBrxejJ1SuWgcpBPVO0da6+bbGwAOkf4p/pbq9nFxsrFnaNuc5qW1i3mqJ0V6rcW
XLcS9r9hLhpK/yKY9j4wfBpvVJtI38vtjQbPzpdsMZj+dvnOxBN3RAHClVNRWsh2wbpKLeMpHizq
C/DHrSe7Xxrqw+B+6oml2ZrM9wMPbb0UnZ+yIbqjf0C/6bXWWQeMYw8kFHdpYrqb3BoGP+rpcAqA
+gJhVmWwT7xAbnlkpG8cfT+LwNO2JTBWKAddJu64yOl64vHAZlnkdBx6Jh5gOaxTBKS1XchTydXm
wwS/wNwXrfCvYjeN2mfIB9AMRujIEWGjlZwovhnaSFJpECKN9yI+Zkzin9F8wkOVRfWdzCqqcziw
Hx2mV2wNogmn7qj8zGrwDKia64bLFhymTdsPtG8QtUUUw2+0gtSv7F5uXAETdxo6unrD2CrDnW3l
UygeYCmN8ZbChoEqDylmy+4xMEZh5N4N9pjZFfZHz+3vDSOVwz3FCkQ8VpK5g3gUFtfCBuBUfGE3
unNiKhVET6M1YwHsQa+Y28Ir0TUyZsm8PmAPj7DPk2dWVBxmiWiU3wTk4TaWKDX5PHpmkRyGcpnR
Z+Qe+TQMNa1ih5msUfcqBodzDya3x5AVhlpiXlMRpJKXlJjrXFAccq4ViSQVI1Nl01yv2qV5hMss
DF9yEYecvSMR8/toJShD89xXMgKxZkQhzk0m7jAtlGWyUO6mzs0uDXHju9ZLX2LE/eykQJntF74j
j2azrO/KI/ZBk71YEeAs5j/sID0kVBWRFI30vgs+FGlvc1yoTTxqRtcQxmOCO27+fVIXXdxNv3tS
c6X98kl99dq2r5+jvv0KsPv7yJPx7V/++ai2vT94UuNDA0m6PBA9HoX/iTxJzA3A6hfCmiWXNNR/
HtWu61CEzj/TreUJ/3+PaoD/nOe9JWJhkh+x9H+EsnhvHMOf5kCgMqUgH8K7eycSeia5hLTS6KiJ
s7eoxJSsuSWYJZfJ7Hf7mL/R2f/ulZBGYd1BOzTE+1wItSWFNY+CV1pcl7lefawWihKxwt7/56/E
a3imbjmGhZX0x80HWWrmNTAB9h0GVUrL9ZtWAUqw6/nxH7/Qkj6BosjL6bzWjy+knEx4ZTNX+6lN
39IsfeOI/Jbwn//Ny8ByQ4al3/H9b8TMaWb9Hqt9oDHv91y8wmf0a0q59j//6rhW0SAdIiAw/5CL
vpdmQ7jgVhnxiVSQN5ecLdJVgBnvskE7//WHWv7SDztE6OC2sbAWAW2eN5w/vJKjcldj5lTto2Hg
oNxPd1M4PgptejwL0b9+sUVC/enFTBo3F+wZFpd3H0sTsuTeLAEucexfOy3wc1hDuDi0+FV3MRXF
VmOu6L3r/pvvkzM8KhkK7094T2aAPdawomL8EJf3Pe6FlfS0FFfTb2OFy8X202dkC8aqsHCCnXcs
w5neTPBPtE1pPWpu3lfkFgxmg7/+Jv/mLj57YP96FZas7y8QF/VCaVi49qgT8sJoxkcw4cURhsp/
9dV993nerUwD7r9SFbxSlPVU8Y7J64ygj8D9u9vL/OkzecRLhUEu0nF0Vup3V0e1jLVcq0/3EcVo
x54q5rfShAOzGjrSFDlB92DEwpPRbhklOE8WHAYEu6i6qURh0AyVv+ZjWRxdg/MBshaOinhhVWZs
Ey8s4GKXRZM0l6mNDACbATtO1wdyHwZYmMyRC2NjYXq5J+RmvWJkYpSHaV/tXE04J9jjrgkedcwe
9ThOPsbLppXZP9bdYU4Javzm5/3JScwvCBl2yYA5nmUYzrsvo8SR7uZlle+JQZWYWpQGYaHqoJmx
o9t4AXtY4TUCYoyUe5268zVbMW+DY744Yp6y6W8u8VS5Y0jChp3NZyeKocktVkaUZIGrIH2b8EYf
wlmoq8ppKVWvZuxfhlfW6E78V9hg5hs9HSiG5+m5d/A2k+TxjKfUMcqDDBJ6q3M1ASoY5T5YOP7l
VHg7WjzddUodW+jjuKPbLy1Gd61qzHRdh5GlT7OCyjOnuO+0xDrq3jx8rgOeePSW8N5twaskVnkx
uK3i+Om4UUkNUwbHKQUtEbe8H81AvMs5wa5T1VXb0gsr7MVzicHAIliGS3k51/WUL61qs/N2dtBU
21rn8klqAqhaQ5FfrvPp5pxFPE+cznc6LiFq7OGZ0enC2YbHYeEs5dgRRg1fecI8Wng1dtj3yguh
d+XaRdhBlck1yIW6QcGAkhdjKJKPoVtmj/aQMq9tMQKTsTGeAj774krF3llR+zfznigOJd9TeZ1v
mhPr3mhb7KM1q8kesfrIC1dr8xMjw+5jwFdzESV1dWP3yZuON4wKStt4yt34bWyH4J7DYok9ZHn3
LWbRKTMIFTcZKR7WOagGtwkRnTtqSKwDT7eO5AslMuSwTIZLNtW7mdEXxzhkEL2ymEpdh2bl3SR2
WLzBBBHXokz4EvtMFmxtB0To8xKQtaEFCDoAXmrzlaXgHJ6Cnuq22YomjAJV+MGdF99y6MTpR29e
fOj1wNlLRsy2sg7YAQUPjZ3t4sLQqyuBkuitoROq5yiomHAbQjE+KziAYknQi+ZSK+P5ydUK+WFE
DXxjqFoe+YzTpqCLcYX0V+/Je3qPJSeuDyYYgsTHFSpjv7GkIlgVRbSM90sbezNWJh0cC/GvC0Ya
3EejCvHHhanmE49hOEsMbl1Z+qwxxeNxP0+eu+vMSvUr9JMqeuwKjZxJ7xbJK7lUbesV3EeAIIjf
xJ7Kdi2+qbuh8dTz3MzpTlZ9l20HrTFi6kBNOSN8YtBZAXhBNKCCBCSjV7VfaEgF4qQtBu5skO2D
crrqJUwseeFMEPpZ4HizTQ/614a6ALJriDWfGhnrKKMw/Vjjsj9C0So2aPsGnXDJG6Ad7xK6jHnk
jcDeC/NprU0L0D3K7eg6BHW1gW3l7RKNX6g32Qb0Jiv8Aoxey8gL7hNFC946wkL2tag8uS9Se/GY
RjacGNE/V+0ESi0vl3F7z4UwD25xhKrBlB+hvmYw4LeCevYm/Nr1jbOO2vEezXXfleoTZqz4mDMJ
2vRBZVML4TqnqOemFAVvi9GOuiI+5i2pzmprgQpZGZWTPmEKmi90b9zmM5T1cB4r2ugG8P8MtxY7
YJdxUbMqYlXJqmldYEK6Mdlgb2uNuz4lCrdWivAlXrhpMzesbvnQqZ1Y9iCVxec28uQV86l749Ie
/5qNrXsy1RK3CDHCgC00j2PPFYUFLvi4pBR8PZvKtSr4+LKduY3QAbybruiHz63WENQNW9acyErd
k7AbOlL07FVKFsqmYf3AzeSc5nhMMSY305ocFaZyafbuKSjT5lIMPSvZedfZe029y/Sc4ztmfj83
+nJtw+peNyXhh/NTCa7u8DmSxQF5vViFXqtzBRNpa+Lsxqy6chsNJg2yJDZv2no5Y5RYxzNRcTEN
NU5wMFaWn5I2WxExGNa5DQjuvOpC/H3pUld81QdWK7VcIxIr0TUZvPg6kTi2yFwB0hrYVa00rZPX
SSi3rYVopsoGqpa5OFgofEJYsktKy/iGZico1shy1FTT1uL3/MKwiXSszSFPgw9I7IFP2rI4BnOf
n9qetUcLWT0Gj5s+VTnfOeCVrZnIehVS3nJtBob+yRMQ4ZQm6VMu+xs3bbM9kobaYV73dsAztauu
iW/M2FTPtG20N9OIxIe49xTr5vDkpkCO3YldgTULuZ+9eN4UEWybSmuC2yx9cWpqpWIzeoMeEfpW
Fz9wPz82Sg/3hltqmyjMa59xWHVjTa2BWDiFOxb3T5osexykPPTO1nItjrLHumDlbQpWHD13xYdY
FxUzCX7S6tsia1tttYUbKLacQ4dVao+Oz3O78BUZmX6fG9JqdkWEcEtT97DqWo9yUuB6LGYJB16q
xIzEy32EQdIlQ63T31LR9FLgAG/Wk6px1GWVGedMNepOxz091MxBcuOhzY38ONRmfoT1pVd+6fb1
EcoR0V2RTwZpyXosHfti+paUG7B2sP7lDG/ualgAw1oHGKvtLNphoiPuFRMqDV0nyj1aCqmFcGBv
QjziXNLQlj57jYOlNYlgcKg0/1pJm3FqHDqHER+l8IfJa1p2N1LfUKDNuj65Tkpfadd03W1hM1dq
qOn2oOO5qFVdFTVIz2YvVM7a036EmprS8jhm9+TqRzJFwmZfyUGD/pvKmdSxyJJ0HVf6J8vt9xU9
tCttAoVoSS3aGqRq1iwc6gScTbsSxBiSdecAWtIsY9pxnxrExpOWiRswo71R991mrIPXNJLpxoGQ
vDF0yjrg6ojnvDPGa7BEJabvkPwhtN0eXlZmztfcruHnkIrxfgVnWQPUOnpsszXtEI9Sd7dOSGB+
ySCw6NM+DrfRQQscLBJG64oPvMcICYbWnaT6p844Og91dBAdozYmBmG9O2208xxajLeyfc0DFMLv
AGIs7IHhuQ37hI6t5TVFWBHudFTPXeo15FUag4SomYcY5b3fHVrfW3XO7we1ZOn8Ww7+7w78Tgjp
nFlBtm9ygU9gumhS1tTBiV+LrL8LUPu2v96PL7vtHw51HE10jsmWda7Qec+KaS0l83Cosr3CJXBT
BESiRcHjuCii8kKzpvJbUvTz+D/h1/L221/+nk0j/u4sBGidoZLOhOgbJ+I7LnjBoCO1SIywoNQD
QQaQ6+u4paxunXDMIWcO/Lnl5GNLd7g9P3aGEjDnLsKouY1Iq/hBSvqjnGu1G1ue67/+PsRPgyW+
EOZUjFMprvAYfP54/gzxiyes2Om+Wwp8pdaWpGqT0B9M67mO6WbX2Cqt3CQytrLB/g9j6vjrt/DT
ORuKLO4D0DMcGflp3r2DbrLpeyWvtPc4b+8k3M4Laud+d+n/pFjwKggVQNoB3WAsfHcM62MqIu2i
jPeAKExi4tysRUW7cm147K3ttIQEnrBhjlI2er/+gMbP3zGP5YWssswRMQ++e+1JpJZqsiHaWy19
cHss3t6lFgTex7xnOwgVQk43nkZUjibix9Sb6jetksOmA35C+BuOBahSuBIQN7LeNTdhV7GFAte3
Z8/pXRI5b7/UAeDcg0YTVfhNcfl3svwbvZqkicEP9f9Plh+61+h7mfrPf/CnTI30i4WMxdZFAZEA
dbjs/3KXCdxlNuWzEp8ZhUkwtr6TqaHGMDT+DsllOljOdN3EHOYs15Dxjwppz5Pi71ZAbGasQ9hY
EcohPjFL/fGGL+sSlu/kTlce2cY59d2hmqZtbmMBRa0xDzicllBaSFaolRYlMRN35ZmAfm4NaTj4
XRhVCcEdZ/zmnBCOpknewkRqyb6UzKcCF9cah1g174GlWMFwp0HBxJDbewq96yEKRpBY+54dDXfi
oLD76FmgwQa2FLsUtJ3W89n9lu6byUM97vcDztxRHUKHaVtAxyuNikdqIGp1Xym+5HutKB28alZk
kERJYPld8F1aJjtGMi86L0sAq9LpCMmNkP2lNU+kCnKLxO+QxddBntPV4xiz6Q9MhT4UuRF9mLvS
BIgjynU299onWj3iD25iUQdJnjI5gR+87samPsyYeLZRGfSvntCh6ra4gXCrUD5tU9rreyX7O4cO
g9nhQJeEKpbscWhbBbQ1DAR7Lgz6BAuBKcwdrzn5Ke0w4vtacjNaON3TRdrP+pqoMEV8gVVJw9kZ
MbV6AFz0sqMOl0pCgZklTxX17nd2psfNVQUxs+BXyKHA5erbM+3fFeE3K4JYpi2/WhF2X0sKO16/
XxT+/Dd/LgquDqUAOgFYPoOMwplt8Oei4Mo/bGZZBskf7klWAB5gf86uFn31L1uJ/gfPEUzN0Pnw
l+Ah/QeWU3Yg73ZDSJL4VwAmAP+ycMQsm5fvNieewUUSlHjsTTd8GVIKbrs2LTfo4c+FZt83StsX
el8/u7l4xtm5iI3Tll37sZscdzNrtXEwh5z0X+ZhPBWDPHiIgjuIKdWajo7C75TXvE2Bstcl+t+6
dFv9UgPS9VGHqXenGYy/Kcns12Y2zH7lxvE20IpFxXDuEhW7t8McE53qSNtzEOGvUSBikv/etJph
rCcyWUe9wzGo8hvOZ3JVdVa3SrLx0LTOfJKEE9isD44vpqH/gG6cQgseg0MUo+BZmjgNsyl3bRc+
MV0n8DsM2Y5yhOiqo6XjIjF5T7pexLfCbsnWaHZNRtHZWHH22I+cEcwRdl9tIzk46rVkhM5RWsGe
s6rxE1ypkIYV/HemN5crcmT2TraDvmnAsu4GMEzgSjNUcNP80iW0yls94+Y4ta0V2uWroabB1zqF
dzPNt3mMxpPMePLnrgBu6ngr/CLFXV632y6btoh4N8GCD+61etzDbWMWj35151VG9tyBrX+SIIpz
aNOz6PK7lF3gZZyRrl0lHL5SJnrZVVOZ4bDBFK/7dVGnz/1cxqfUjKyD2WqLsFmw96xCKMe1qQX3
hiWQ4tNpdoD5yfMhv74Moiq+Bg0yPAceKQjGRt7jmJtpAZunp1CkdFAYlZdv2iG1DtRvuSdnGVYV
dB+FSJdK7jsTqoVDSNH2YexmjwV10Bcyi7ydbmQEc4qZwwrcOFTRkNTDpVMb7rqKTcGX5xm9AA2/
TPOMirN4u4jHkJqK4xLcQMByC6cG1p2yDydOGF+j/SKxEiXaGoOTfHQMBaHhrLlJA/RBYmTlvQso
YzPmDJto4hXXpj0Sz18yHBRcJR+rignlyhMOz4A45bSSo71tUAzABUhEjB5TAmU3oTVu2hhqzwwL
eE98DbVSgs5fNzV9IjUZ5scpnvRPTU9uRDOJ2pFS7fhWm5L/TgStiC8Q/XKcEFA54hG5LyXyYMef
dAyYBGu9oDKKzpDsUfbBlO4lqmWyqqdwukPT5j3mpU4Q3qbwibSKnfomTPFN5Wb8QdGN5OuyBslr
UhxKxy6vXiLuv13M9NRZjSNSezBSu7gYe7JHhjQcE2v2BnHNWEX0ZvVVjnS6BH1Jwe3yzpIgqdyt
4mlN4p+hyClcaNKxbBD14f64J2vkGrS0Ln/LwLyD+gIE1CbW4Jf2xMgjXj44h06GmL3sHpwx57+I
x8s4SMUisqbsaNroXosSNFjJx/OVlsiOV5tDD2WXxhx5EY/IvWyHypuhQjFmHpBQCz7X2aOF0PuE
cZZJUZdbzqmRzDTKBQMhePYi5XUGqfieank88Kx6PbMYLZ/51YxgqLbZkHdfzoflQi/tG5zW0wUb
cOMOhjI+nFqDmscVmSKGyOCjZyxHWpmziy+CkT+EBfzUOBOJ/SyMtPvz0W4G9H5fh7W3KzNS/Odf
Kx9yqiXCJSjfpkHR+QJIqF8mfHMT5+lLQaQ4WJGDhHVsh/z5fphCRhhw3WbSmHgO3Be3sSZS+iXp
o2S+bouIJsDpFkfVB+Y4AEAklNTYZV+E8cVzr4yuvyF+eBstZuusi/Z50rzJwbvwaHtYdfgHC8O5
G1tzC61lx7DiMSRksGZz5l7aNn+wCiTnWQ1xdyp91yjKu47nGGKZWfY7EQv7zqqSh1YkYBQUa3iK
Uru2nQpTnUN5TZxP1/HorYcxWbdBeTQLJ7gVnTbeiNFIti5QR6aIrh3t6FtKsH4razPBNVk5FTNa
pbIKY25aE6FrxJciRKCsja91Qd9kHcXVRUIIEft7Lg6mIT83otsXrjxZHtJzqnrzBgsf6LjQeEYw
/jz11K/B2sq3ILNIhE+F2mi5OUHonmHsGbDp8WrZTKHZ/PsqSuYvuSLGOVO/KOeo3TLkA4DXV+xU
052Z0Gsi5cwPHNtiO9YoD8kwpUwxxQMkfwOcTc3me8oPOnzO/cAivNZdOGoICIxEvP4IBKvaamX5
Uuu9tRqLkgKuVHeODRf+joiovpYqeNEFmqWWL/iz6Y3w810Vu85X0r3x3kI2/OjYGhPHNP1AY0Ty
Ok2aueFeJ09h1i5bZRqkg5Z4q+UF1kJynFkPTJXtw2Q2Mb9xmvEZzxkME+q8/RJNXbDRKQ69pult
qGBHqphxamdQFlLMFI3MyiguS2FfZ6z5Jy6rZgNOXNya82RtBoZVpZ8TGqfKGPqc1VJr1Aqj+toS
m2KmZxymvOQsUVWvNJQa69ptvXUi1LMezAqbIE97z6glnLr+M4VwLyCqd/pUBw9M56YVLHuF+D6k
fon8d8Xo6CGYCt23uQ2JHRThs5vwHC5aGtCF7l4Obh9u2CS4XyxHqjtHxuIhneplD0GHrt+SgTwO
XTDgyQMFAIdeJQ/JMmi0Wiv/Sq148rVrGjyPlF2sirAN1uCz1ZZn+rBNW/5tmJsbYt36tRMk5Ymk
4bgOo5qdlalJ2EuNe12pavhY6FP2ccDxc213kBQkO6xVY8czQBGzZCXv4t7xo4IIJFQm12PmlISX
auxScWyNQMAMbylgwIrab92wznVuifCxs0ftxhawV/A7jjU/IoTDoAk1IvdJf+nIxuKKKcjQlLWs
ALnMsNnl2JfXJY6noyVzgBG1zDdBWwePFGh1d0M6x8lmbmvM/p1XaCSEXHlgp5DuhF7Wm3jMMOgP
srTIJI9vnKqMG5GH3cPQxMO+ipz6yWaKgD4KiQD8S+QPztCuNauKIUzMh5TD5UWulHbUSxawShj1
vgxk61dNl1BRMQVbXNAubyurdwyWPzlt5q7aJhhuUlvTr6DINVs6yZtdbVDY0lOi47NnuBpLIq+a
tkN8tP3MnV+SpqHdISkUgZOhbvxZpILK+Dbb5haO3LJJrd1czldjHE2LvZHHQB+YW5m16nYG5LdK
KfXjyaXcm2mos/s6aQeC4an2wsz6mnaH9iuSJhsQe+q2HiHNLej7xUtdo3ZDrlr3zcwtbpr4gl2C
9cRJbxhZ9xCzwNu1pAkeIW/txmEM160531MB51yPsSFWnQv4fSogTg5x62eCljpVhl/hO+zMjkce
VL5so+KkJ9YwjscYdjED5zY4DHVwGYc1HT9Srh3w8YeJ6NRFkDBj7NY4VlOxsc35zktZXcWF02t2
rDYQL5gv7dJ8SMKTaSf1mlsYTWvFB16iVJ5GwuUxDGtdX6U0gU7n2rtpPIzsf+dLyVYl9ZMwTyUN
7glYBrdCApB9OiYZHt4ebTS3Y2pn2pCSk89RSobKApSLZYq5Xv405tZJ0z21zQsmBEjZwz12hXkj
prm9DhNZbhMlratOzs/1bMabubLvYkytfjJ33V3kAcLNPJnc1GRyPsE+nfzEKOZPcDy7qyHH4RsL
9bUJJ47m0lBXrlLm2sGaf7RGTj8rSfenN2TG5eDY9V3IVmVjBL25njTnIwVewarO++R16MLJj7XG
MnneU4umxegOCc1UaQ3uVql49IMKIkwVVNlu7Kx4p7veB0/rRgCI1sVsstHGG/PFQZ1fWWDorimO
9CF4fo7ogFszo/OOUzhj1MaXz6Y/nJruk24NULKILl0OQ9Gyj2+tvWnH8tAk3r2uwEquavYy2uKz
SA8zkE4wj7M1XVpxo50qcGBPWaNnV22Uf+YASn9EyfgDqFw3ywsgMIjWRfS5XoSSTqvzL47CrY3X
sOu2PbXS20bozQvbF3tj0Kpx1wUk9tgD3ZlxIm/MZA4B3xqZeUQQq9fONHOn9cXwSI1Wf1FXZnE5
k4yr/Hrqspu0qB3pM3uNPlEioxPgT2IGxFB+aR5hvFTQSeOW7AMyz/3ihjoLhwqluIv70H3qGody
VTMvPs1UVtG2EpgWc9nC8Qq/14eCKF9ZbnAFuxdByQy1ZWHE7Twf4ikoVtXAIQtvQnodo4y/iI64
tF07lKJIVFi/gd5QrhgNcgmFbEpoISOABoK1+0CffQNdqYOlOpuM7HgOzpM/xgNG57XZdv2qqVv1
xrQ23ztmF+8R0qr9qBVf03GOV+0UOBwf28u0oeakChv3zs51dRtGXXUHYmKmWqtmd4tWv5JhSUQr
MDGMe25w5I09cPAL1o4XlVvwzO4hs7Ww+TYp+Ff1+Y3qYy4+0V+pPk+vbcRmAR3+e+Hnz3/2lxos
7D8wFuHWkpTm0R2G5PuXGmxYf2BDNckcoez+pflYqMdkfSwPzvxfVuY/NSBL/oH5iVSRSQiVORbv
7h+IQD/Op/DyMnthLIEcvMzFEKV+lIB4rNWcBnr7lCsWAZ8utv4E+LKzVzwK24/ffTF/Mw1b/th/
tOfzi3mUSyzzR+L5hnxnQQzluCSBOusUaVP1csY1TkhEj2ncwR4AXIFDhnbvVxqVmv1/8dImOjpW
PBS2947VWEvF2JXCOs0Lxq/wmgW8MQ0465wFjQdAjohuqzfgzNqAjNFv5myLqv7jJ8fNDPUeMyBw
GfH+5Q0zDgvIxOYpyzUAha6mvjHUYMPF5fJyI/Tn33Ah3nUSL183L8qlghOMch/HfPd1FxXzzbDy
jJM0CqCNmMIORm5DYHHoh36sOvijVmzy4r3o6UCNur77YldoCplGeM6vgS7vQAwm4x7rC4vbzBPj
lVEe3amBVLq4wHmDvSleTGQr4BagS8asAFT465/uxyHxt4/BjkaS2JOw1MjZ/6BSulBJqDyNjJPo
Na6VHk7qmLFnIP47wh2Np/IC41f75dev+qM2+ueretweDhMcppPv5iRsIEljy0acOG9AvDhDW5wi
etMpFKJSFZaOtMBRSlZdZMAFvPjr1//5xmQsjhveQRbmunl/ryjPK1IEfXGyF85IvNwwkwd8EraE
uP71S4ll7P/u6iTAyJ3l6rzgT0PgYMI0qQO+OVl0edzBTkeb+IaeDUxItWNqEbHW7eXu1HEmVLgf
jRVkMIZAi5Xz1+/m7z44SQNWS2Y0OEfeXbWGxUwciyfUdQDStW9BpywvDQqZ1OqMDvn1q/3dTQKl
aLkv+R9Hvs8ciArwnmYq43SmExZTBBDEClH5+oWzmeNGOZgKKybMWa7yM/cvV7Dt/WnBPQG7wkWq
2ZA8wxrn1CbVcfd3KYxCrJ641iKFdlucea3SRUM9emSNsu2vP8Q7us/5YnUYHTBbwEfB4OvdLZJk
YdC7kydOSJ4AGs7l8ufr5qzlna1pGYO+l2JKPZoZ0MXCeF6QNJNX76tpIffGqUVhwzzMkF1EoLdf
3AbF8Nfv829WQTI4DD44jKNQ6e/epjYavaJMTJwkjebEQpevWVRN9SIWAmdNG85vruzlCfrDlU2+
jauaZy4uB508zrtXzLvQSPR0ak9DBd1QwsF9DTDa879M7A79ItQ2po2yCesW9iYBNdSbAZPSfdyn
GMvNYuq+mCUK7JnYqWvcBDExo0truSbOX1HLUwPMbIw5s1UOgjIA60vcvtYBhoS4ntGRLn79NfIJ
3n8sPgm/MxkLi0DwT3Hg2U09gvpTeCq5zX2vmmbwno7GttTMJlQtBdJnEdCTbm1ImO4+5q0ggn8R
xosrj2GzP40VQ9bEUBs6AJwtaCit20d22wu/EOFkrmi3pXRWN2dq//Ro0B4qjcP7WncwKK6GEDq8
j3JGo7hu6NwZHAH7DY8AuwLFS+mmBQXi1FNYe+HSqnpJQUB5rRIckWuax8npMpvQngVYqhsBce+z
nrYYZdkH4D2CEkaOcVTRF7r9JptpU1Ss447nNyZzmZt4wZPqttYXZPMYeXawssoW9cuB8rlSjqNV
jz0+sGFtBo5zTyNnxOknoc9zhWZXK6aiYYOODoO08akmcD/VWoYwUuRtl+7nce6glaD5NgcD6Jt2
CFxhXSIHMzSqVHDUsfrfT4MSve9w6G1OMEoEfReyK/6XvTPpjtvKtvRfqVVzeKHHxaAGLwLRMIKd
2FnUBIsSKfTtRf/r67uQ7SfRflK5xjnITKclMhBoLs49Z+9vO9irTYh9RRzV9S06r7zdTr4dh4FI
ma8j9uK1m3GPeLOCLq/MXWJO4eiumn+P/QZHV4GqlmAhkm0pUGVSAtJ4HmreAsAL+bGZPgcUQgXh
FTLMaQXi3vQuRQbiizezEQPgICQAWVd9gkcJH5KoGcI2J18Y+2iuijgj2W4SF0Sa0A/O/O6LQAlM
ziSO5oOekKrqo/e6bk273bd+QkeogikL+vejIUVygrUxBYI64PPMXgqkZCMPHgrsPQP06lPhS+dj
pTpajVvHr9wo01vUh2m3WUiiCfSey0O0SodRNKqdoDC8gXalyqdTpLZpgv6naUQNV92r3ejuFnpe
VD9ojkiy81AKmTEtKHO/ePCGsNJ9bgAEu15QePifsg3cEo+o3I0NHELBcwzCNxxSJ+1EMyCGksfo
FoHIDL/+qMUDWAtYdGmJgLKZC7HXdFX8LFhvqyzjTJcanWM9oh/Laq8xqREjzGqJbHwm0ifMHydN
csWwOcFbJxSi3w5AyemDVAhkk5m7chMLIhT3NjJptAAGe1Pkj1xZl5yMfJOk9CZ0HZny6APIVE1D
Ln02QI5O7OhD74ml2y6zqzLnx3ETJTr1aqdg1ETCOC9TuPhPK3BMLgzq3N5l4bFZhzwQe7uijRvS
O3hCBWAAi19PL5ODY8eBwmolR9OxCjJarGfar+ZDozvqLyluc9cNrM8sZ2G4yW2/iAIIsfybaFGp
IUNC4cOwnH9BLAOjOOFwclqItswIaLhJ4DJGet1D9/BRN3JUtCH9S9+rpjum0LzUvyVwqDWSGk5c
hoSuQI+lhc80GjGTr06l39rGg5Q9/7gebdH3SD3xxTANo+wkztOBXt+stUgG0669WbG5UQT8vl+4
IgNyvvOsgIcDJmAaE+l8t1KKrTxVxHcSywCpqNApVT3CuXFeEMTypXgk+aQsHphwVdwMqfonwsRq
SSOH6lPPBueFtCy8g6o8qnNUzo0fNc9pVlD9Mimb79ZCYckamOQ0t9wXUw28Vux323AwkynSV9vK
Pc4FMVkXVaPp13rMIw0NRb+WbZ5Vl9xGXDtTHW1ZNbx4pOLihxyRnuoU4VXV+LQyMlDifc7bfM5M
rd2FylPjgosINwMtquqCCEiOfOBnIKajLJkuG63FTrUWOL0qVbIl7V6/bX4s9U6eoeFi7HBoqm5t
LWvQguNKt68QqjHBLRz7JfYsuHa8djjA2pxAFOPmGNNdXRjh51yL+fByfYQMQqOm/YBShjKIN08X
tOMHYY/yNfdB+7ODEBR3/F8/MngBlzbD3qBSW5UMxc3BmIFRswxYF7Rhxmt69d4FX6c6W4NGb2/u
Z2Cacc7RQihqjyDvjOtO3Z5OybhYj8DyELXS85vTgXLVpuPfX9VjpDHaAlFPlcY0AJZDTLtph5iL
gwkVzK+zM85ZZ0D3m4bEe0gz4qwgpwJ6/0Zkz2NUmXGBgmcz1QXff10Espzm15yQzbCF1u9fuoCz
LhqfJ6x21cdjThBbcJ8anGcMRKnBANqPuKqU+82xCS2uagJqLsh5kXMeRkpQoDhQ22PCFKY5cl9a
0fG86oApdmZCInEQYe24bFvJkax3oj2lhjyv/HbHoEbfGS2DA2raJqJ9OYXmeCEqdYFSLGZQ5isI
5zB5/Sc6VpMPan7R5G5xO4oiU/TUQCaDi/tZxz4BYch4MDXBHsBP2YYwxTUeRoBiyDJMopKJek59
oNGJXz+7Uc2D3hjjdLt+Q95E1MhSqUzbitCcdcO7jBrdOsPiESWl7AGMUaZvRra0D0RYGQ8VsBbr
2zh9gdGRf6sY19fmvMAWC+pcA7wuYr47waz4Ak1itsAWE1fV9+xk1Flr64GJYjoa+RK06nBil2+R
KeA6Vh6e1zJGRZljbrvTl9mij2Yt1r6XuSEIk45YjpKMh8u0VRBILFuHIFVu+Z4bnIFxnISutRsH
rznOiUPqgONjr7qb2rFst+Voo6XTcC69kEnDysLfRuWpIIR53oOgbyqt2vm+GPNTgQuy2BEaZzb3
YGBGbhEVurEFgwbFPV3XPmag2gHWN4s8pUiktuR2x36F+K3qvJ6Ab2uR2rgPqcm6oBbWNvJ446z3
bhhNvNamrm6Pk5fMn4mfDD+s9yfy9fCQ0gg4DGVjZ1deL7hFhA773Xay4RTTZhZ/3BC04sXX2iM8
elu0Q3vU0hI85Fw7L5FLL2W9KzBCKW458yjiMmiqGk1J7IGjug3Mh0GJ4AUxmBs5hBtu5wW3FlIO
mhAtfIplk6gvpI0Fd1/S4v5owb/Lw0wh1AbsPTGy2XwFbjnjgSy1Cso6Mdhi62FluDM9kl32BCZM
tz0Bv08WeKgbfLHLB3bq3NQ6sJp+2ynq/roC2lmXEYIcepzsLlRxD36XcpYsFP80g3gB4cOILAQ5
NR5FcgmjdgjxHwmAu/iRONq073jMrGbmc6N6nu6K2W7dTc1W7cmfZgo/J+J79zPTHQChdqcFCAlh
7LTUQsv9YIhkOnb9UMY3zGT16gK0qXHd6gNH4QilaoiSirtdN/DhP3QOKpFdpGX+kz4S/VDWk/q+
nj/eIiLy7nsxFTfIkb/EWqgRhZHKI5nu+sbDW3om9ST9GlmovD0Tpx0jghKqXmXxAE+8HtOk5o00
07XeojTqfCqU2X3KUvIGnKTmglbOuEwHrU+tvRr7Qjtuqg6A6ASYsK7TK8uWML54axYX7OynY2mQ
yrGFh1JehRWBh/6kpDuuCn1Bp8od1kqzE7tpkp1+atTij3YkohGJYIOaqrcrdjB5mV9olam4o6hd
tg250dp9lDJp2LZFzX83vhKa4N2ZbukAjhthjchswLTmm0ZRWAtV0jWxQAETMStfg0wANvPMeNwF
Wc4qO1o+j6ofK8PW6jcLF49mk1lRH6Bg5Uin9WUSxqzbaD6r7K2ixuTt4tfAyNQ73NBI+wiFCntZ
N4YRkSL1iVGOQtZ2rGkVnp/wTD+tPa4RGYnKpUCbQsLNhPrbgAyPbRDPkmuhj2IPxnVVbMVp36a8
3PoiYrVa3MR8WJHB67rppxlWYrC/jJabkmciV/VmHfrismgFSOGwpn01Tnb9vAYIVR3rXtvwCHUq
NyQJteykVc7ejdTKvCwVbyD2dvHRdOLkzR5cXZ6xPPLEdRoiBSdr0K5/qzAaeiQab+YiK4V94XlI
sy7YsE3dUbK/2Yi+bw8kqvX7HF+0YK8C/FVHJPUgBIk8fGNWJfo8nBIv1XhthCFxEofC5cXiDrP7
ENOxDhamLxcQ9HgeFhW88K1kdvTiqxuZkJl88pT2UVagR2S6au755PghbvvpcVK2xtiek8e6j7JA
8oSwOrPbWTDUmr238ZiwAJ+xa+221VzcbJTTpdhZrTUdzcjRvvS15bxCPV/ecqrKr0ibJeX2mDMj
B9xD5wI1o0FRdshprny0OVzSWcIwhwLZlGmzayrS9BxrSq6BAIogSt3kd3hy0b1LjT9t+wL3YiYd
/TALZ74GtBM+4h/MvlTNzG9ySlIzqJRREt4upcaOlcCg0cDgrLdQ9v3BfV7bCv+Z8PxiwqNcJz/V
9V6vqWbBS1Z1P4h7//jBP2Y8PulkcJh1+MtKo2sadJT/nPEonqzt4nYy0e3yPzTG/hD3roMeWgb8
MX0SBwjNX2JfBj2MCnTL48cE80NwNv9i0GN77zvavkcKN4Mmz0Q5TH/1XWMVK0ItWYHMywXgTrQc
Ehkh3wkqU0fcJK+0zia2qPDQOg3CwfmJfnl5JonJJacwMY5yqLXLkCEVC41W0Ehoqq3HDuWqispj
3Fr9CYeTF9i5756rvtTum1LiNiwj7dwlggQBu3DvGfJOj6nwO1SRFcWMUTfVppBps3Ulvjt+H2JM
Wq0lcoDQOqQNjEeOG02LEx1JVKSVUbQn1h9KsSZEwNvcIHWnZDP0jY1a/9hI7D00JzKEcO7JsMOA
fCs/iKPmtXeMMejTWm6LoU23Lb29KxQw0W7syLcfdF6YLpu/XGo7MP1gE4juOQDcpA8QmQfM6uXv
/jykO0kub7Dk9i6f2ps2Q8iE27xj/9uRq0UbYls7FCdW4fL5hcGeEa0k+RJkhBO+mtyRWYvMwTAW
ArlMH7rDTGBtXQ8YZdObdvYR4Mps2cEkMDY9Dg4sxjUaLd2xyApTQ/ein9jZ5fJEssdVbJAjQMbB
nYqa3HWhd/ALjI82stowN6lcAOpsbYrvwAx1mN6psXXi+cnphnk7dOpL1FkXdD11L3iNaNs6mrvL
Rf+5QGplTVNxqksjOddtQpCyOe2qxdtrSV7vEVKWQY/QZoOjwds0jnv0Q59eHboikYEKTJZQe5ot
wmosHaKZJKxrwyBn2pt25G80lKYXJry/By+tQQEbYgg8b2z2zHScvSk1Migm3Q5K+gcUQfhue7TR
DTiPnQ+ZoZ5q+0wNdoE2odiajtUEvWzHjUVARmyxuPsNERg5WNIsbR4q6T6JablM0fluosG191pJ
RIqhL/HBq4uXxUk/pU1nH9IqbElRQ/qk+6l2whz2ZpMARpCy7wRq85PLaeOO3BKijT74VQqFIMpQ
WNIM2lJbbAekBFtb5jqqWueigcr4acZ8jH9fnict+4zsbdpNsah3KaXV0SnxqS9LiRk6514AJow6
gvDXY7zYPaDjGfdKzr/LjPajJrtC4ThCYHVyAMU3N/jcuYKV5dt7Ny3afWilj63pRlelHhd7S3xW
pvHTFFHTObWrPeS2USAAcmM78PIkuSuGjLYnjmoibJA21YnfPkBDBsro+dndQiZ5IOVyhRQ534s0
Qx8exu6eTNsicBhH7MoJSEJnavpt4rbLTgdTu6NFGG97JzODuLOgOXqpe2EQibIlbXeAkhhddM5g
nqWm94EGPO6xdyzOogitwCQqZ0uCK9mjIwJG3VGyVSfVH7H36qhPDaKmMTorkgeOmn6hgF6y8j7T
rPk2rHv9ZHQSdR6cfLQao5bFO7cWo9Izu9s+L7OdBVdqz6Gid9NKsBGudoklMD9UmXtNkNDnZHBj
ZcTJL4YGl04vBi3wFs4nQBW4KfQZkEnqXycUzAFCYeekENmb1O3udZFckK/gnsSCKdtunTs3pAIY
yVQi3Xwi+nfM3cC2J7CZjf8FhATNCxTTRn+b0yTf6GliHGg2vxV4k/Y5Bqa28y6Tkb8vCZMeXfoc
AL9KzMNay65L1gG2CtqLnkXQq528NAANNpFY7mVF2c3eDEF95mmIZXuEw7pAqgQfIGjLhlsqctur
2fT2OLBe/AaSoEiwKg2wne9DM462hefv+llDbUO062Q3bwM9zw3Uz/DaaVM0lrlhnEKRA81Etb/L
VGeMPOeaNmYhjrGl31S5+cl15WUa2emFdKYnMUoqrgTHZT5b7kWvJ+WD7w+/5yFhv3Xtvblwq7ZD
iHx0jMgwN/qzZ3dkoAuTCXlbQD6ucjICXQDn7W0eQxsIrVhsw6b52ra9HiQ+Ymhn6auDbQOrDmEg
75qxyy9JNWwP9sTu1bFC/wgvcCOt+JM/o7qa7flIXLxxRn9N8ro5N/tO5EqYxieWy/JA8FhyKzP3
MjV4CU0aytFs9HmejSjft73jbPTCuUcjR6RZ1yTnuZEXUQvVGOkYmfNdb27IMteDuGjc5zybPo5h
3x+92XsFZEVUY5TH+57+12EqJ21PBCFBPYwXb7p8uNUjj0qScRoHPl7VjQy3nQMxtAjvKqaOu9FN
0BEn44YFLb8wYu333q8R/WvTq5Ug4bTyvr8Qw0LvK0lasNmhe2T9TU4xIJRDpLHKjYKMyB7kKJHr
pnVI8MPsI2+09iYsgS2bBuMQeenvI661i0UTD3MnyfttyDHVoq+WVnsn9mahii1aNnaNrtmpKMQN
u9BPoma7UNm8yRdW1X0LuisYxQzW+zMZw2X3aCddiA8+Elrjl8dppBtcb6cOTvz41MG18XgUG1ei
DGy4+wpxE2JAHkHvkOitHrIqLRxpHRuzQta4pUFpho9WTxYJbf95pjEZ7RxJMws+e7PUY4LPhN7e
nWUXnts+M9IrF0wizHY93PkVrnlnQ/57QjdxU9bt0rZX/ymv/1/Aj2DilAn1fzbS/p7IL3iUkx/1
U99+6o/aWri/rSoMnLR/FdB/1Na++Rv7RRfFCnY6ZqFKWvNnbY1zlsIZDiN/gunb4jD+FFGZv9Ff
gNSIuspUqpx/xWd+P9fGWI5UAb0W5QfZxe89teh+4qynEfWtl9sWxnTrGGzGl3mmqdC1TBa+O0G3
36QZ32MF/ukDPVMZBtVYG/ce8+HvjHsZ37o268I5Ww7+J0MFGII5nW7dHHISjpFfzdHfj9HVF8R2
yPlCvQQ9890YnTiGRfqo0c5eFbsvqercr71gicnpF7qX96NtPopLjeIGvY/u6e+REG0MzbbPDPuM
yphUFg8lmNMt7PxdM6JpsTDy8jLsI62ag/z8rP7Dt+ROQqGHaRuV2ntGwNhkBNoj3D1LE9VHKVCc
b8DV0z+iO138QubyN9ENX5Q7EK6440JuFKtR+7trOFHBFx4gr/NYoZVjwkLDj2RgnV7z0Hk0Y0qm
3MSF0hsT2xkXGPlZRsVUYGKR2uoq1vbffn0XeZzropPwiOZ+D2IA388YKQrtsxhtvq6vqGg6ajWs
d/9fn6UQrsiOyL5AuPLjDRyllp5jG7fPliRRtYdA8ep1xXTXq671z7+Weha+Fzf5vosshnQVx9O5
td4LqRKa3XR3evtMcMpXacIMZD7wb0VL64egn1z/l1Xq3QOJbsT2OhLczovK+E3FwKxAuJCiDFrb
vxITvoN2IFbiK6lwNWgW6H1Wr/D3jz+1soGW27DOqZnQu171SUao0dzOqQyfRZMxcHBnHlKl55op
xC8ittMXPz+x/3AHgyZj2dPVo6p6eD9exNA0TGoKNOuT6MwTPk8DwInqPNaa5A5lrgCiKzNphc8L
kbXB+vA6SmDICvIrgeffH16OwWar46srjcT0x4PJaDuQts6ucOW1rW3gEdgK8bVQx37+xf/po1yX
GHoDHIP1NxnrVAsmWF5jnROH0+v7Ku1cyxU2Qbhc/Z9/2I9LPcu3betI83wM2nzc327fOu6qHFaN
dgoZwREtDPPwubSIj4bONkGMUfbAn3+i8eMSrD4SBJVKIcIczgV+L1Ylkss20ZP6Jz1kUGeLkj66
bCVwgVFDiijhJezWZnssGE2v4WAF4pwzmyq65SJxmyPNgfa4riDfJqnzwrByE8YagvpETT1/fsjO
+or976ccQbWLB0tpRFFM089bAxS+W02BJ6Q2XmP7xN672LOxXzAHuZTUhsz6TaUXM5I9evFtFWKh
rGd3Z/DLPrTMLosdNgp2MGFBciHK1qh7xUDQvU6EOLuwBleYJhKhOKDxypCTNhK7KyNizL7OFHIX
4YKe8mOtGlR7Mz8XyJRI6NFMm+dOicJEZFunNuUEbmbGKbc4dRnV06zznzqsseAx/bAxjoZ0+NXS
i9kUFX6MTxdbbmhtoj6x3ENeNnyGmv+6Mkb60JBMsbEHG2opc1rjWsbsC+izMaFAEtMRy0BH2z2t
0jdc7gUyl9YgCy1jS/KKSKt59mrCgE7Q1uc7giymW83ssOAtZJsln4wZXhqbPurpjG0kQU5Njg6o
7DL3JUtUcrWdms7LbPjyVUKd4w09oIsoUCF8qUmBB7HkNXetSxSAM9KBwCNNAjDr70APy3d4w6zD
fVxQPKRKHQH8XttaEwHca/L8bJvJYdWfrsrMdQDUrbFy/hh6d1JiNcIyjv7CV9O2lWBikM70mhWR
aeIawke7yJC8BjG3/lNfz/wteIzWhR+WnOVCTbWWjvNm90pNsb7lSt7Ue9qkADXnIm7TI9Ztknln
z1NzoNi1Ef6U8+KdYlWYrBLYVduipybDJcRqWPp1jan8qj9okoa7JgPt8uK5Cn45pymAQyzMM04g
PfTc0zqp0RgfywNwKhSY5qT01XSY6aW0He9Ft4p5/ircVNGuIEX1OtbQlQWzo3I/0cswGPRmm/dN
lzF7AGdlcS8PTFSeJOHl8iA67NuTxji0NgTvoo7YICKz6QWZGyRrjM+w/i9X8BeXaEv8tvMyYAF8
gZtKGrEsW/IlnNloCcVbzOOyjJEXYJyzP5XDUMIFTearvBnyoMFPZWwYuRlibyR6e0ryCmJLrpQ6
Mp8m0CpLhVFdhi7D74Vtq+4iO9t4TjpfC13o58KOK1IsMp9GGDs7lF+avZ3LZX7AS+bs+iqu61Om
z/iouSdjkpJl+YGJrCjJ0uoL5nFt91XYAFQd0+uvfdfpS2SEKQiYPmNl2i5KNDFiAeQkoKf+6JLI
KvfSmd0v4FmMQBICfImSsI32Sic9QsGsk4BsofIwVDgh/XQgbJfowvhTpARuXtXVVwqfeUDmE56N
ufOag5Cj+1wzwN6TtrR8gm+DjdkuohlDhb18KvMm20GwX8DZDVxGgZKerIux/JTW4GsDpJsyyHQg
EaoYJVh3QlKII73Qdg014GageNkXwsT5GmMaxAQc3vVM1C9Qi9cXaYvveHb6+S0kBXIXa4n2gQ5w
8THJBpvOC52mumQnnDaSDPisffE6m+cDHQmpxgV9uwEScVFX/CKhIe9AD0jUakgcc9ZaMV4oD3kX
2RyNDwF/06KdjyDqSURUl1S64ghzbnYCDGHjxg5DPohpQBhAoo3RnNB4zzsZBwvR0TuzqPrHOnOb
ejuUck/DcEaIoX/JPVl9JOzY3CS+Me2lRl+wzzkOUniLD7yVoBMvLO+Xrt0oIIXOFQUjl14y3itv
SaWvb3GvcFNrLhXZy6rK0Uya/huplFO7qu7M9OxOakqLUw2JCqtt9wrCjwWJdHbjgbY/t6xOy/ep
9Xok3aIH2wcVN57QK1SNjkQTpdtC11mrnkMDPdo6UF6xrmAbeR+L3gkJ0jBthc/L1W8zploevtlc
ECJTmCmCkjaxj5IS1VjgwhkAkmnz6PexA/12srFdrNquGnceh+bhMd1AXM6fTUYS1HNxj/rcgvnJ
Mx/LuvhE7Lmov841lkmUexizc6/D7g5V4Q3JdxNtnUxzfkcuS6B97MtjDs4y3pRTlPSb3Ejjz3Lo
XlJUCzvHJoRji8G2kR/zReu1+2SpwSEJMxbXzE7QL+ZJtqNj1xxTzV32syjrR4TCGJ+ZQo2Pg9MW
dyiAvpr58nECFnKTdSZzYTfHam/6GMPtvjZfoy6OXpckGe+BLXDleOJp2tG7JESHNtSyGeIkm9VI
xju5DpNWuq55DQnSZR3fZj3I3WPnT/rZbqr5imgj685dpkTbtAT/GRuXq5BiIEDEpZX0e3aT0eVX
U9vaNwvy95vGsPu7IoGt2VaG/GIPWr6rusX6XPnucO7cmuauE5r4N6Wwkm1GsvJm7JfRB3+cs1yQ
NxNgt7NPqIE/h7U23uP9zLCp9JiPk8j5lI0uaUIt+BLelYxRNkhEomufmfRVOznWSfNH5jvxEMkX
Mxnrc0F40a5MiJgzXF1D1tzJosVMPSd7unU9fUnDNMG52hCw9jFWmwfycMkWKDEF10kcXupzv3zo
Yr1ifBaNz33eNf1Ol9JOTlMyTc5WVEjYNyIcRXbtTuhHDj6JHEd2udpl6i3VI/QoBhEaLf5yY2qe
niE7EOP1yBv+qzE08qpnVKUgqPO5TGWRB7Ufh4hiDLYXMYvbIbPBUaHYrNEyRoM3fIjMYcQKm4YE
wUiWvOds6qwNibjOJR5mllFLn0FnY08tR3C9bY9pvKzMqw6bqMP8qsHiLXLPZkE0xjeI0H249zXG
AFGNfMK2G3Nn5e5ylL2X3MnCaB57Y5ZPImcwN0wQzhZw2QB+GR/ZOqqSzbSkXmDVWLK3CGriV/Tv
vIc6fR625JMnOQFYyFOGhX0KWXkQbZ0qTG6Yd0yPejtqV07SoVWGl2DtBbmGeP3r0tk30nPAl5iJ
Lw899+5XdADT77Wwui+jE3qvo9vRr9XRUcot2jJETWmVEzIZwjL5Snp5k0B6wSxw9Lr6qxNP0a1M
Ue1ulkR2pN9McYV4s2yCeEqaeWMjXNlmvJ1vtBzZpQlUoQv8iJo9WuZpQrBf0Tx2ersT56yHxqDZ
HjRu5KCo1qMlvUF24embEFbpTennzHxLc9Lw5VlctZwGkg37bARM+wQbZgrtzVqv/0dq8AupgbJt
fLezCV66l//1tjZRr1+Kt//zv/8rf/n8UvwgMvj2I3/2Qe3fVK/SsElVoFWFa/MvjYEQvxENZ9JR
IpJDIQTZ1f3RB7UczKQeTjTsXYRmEFz7Vx/U0n8zaVvSiyLMw9Et/99pDH5otTgqSFfAtwR6Ruo6
JdK7hgAzEtOWlq0dAQHYzMrSeTn2vi0fvjsn/9D9/HH//e1j1G4P66oFDOV932ExZDsPC3AyuSAR
zyqYRVavi5tiHEgp+Plnvdt+q6/kA+2ElYjfxqXb8mNbgWuRsmOxwuNsVP4NCp/hysWce7IXnYLa
LcCT//wDMYP+7SyyzAONVF0rg324cut9t5WdkAQ1hteGx2Ru4XGEKOwuq7aHrlNpmEO2grfGE408
y9zrfQSiwGFfO0PEGc3y0DhkCjgDE55NP6G7rJVyzK8mCn/Iy/rnckray8aX/mGNahgXdvjAf8zt
yiZif1h8yOmlYAFtu0csbOXJH8hcgLYOJ3GGD27DWSiJ0y3jw9zoyP4iOe8aXlQfTM1e3nwEkU9x
ZrdPXh1d6SBdqc9yvPd1rh8X08quaHS4YhunVv/BlH3xdbGW6maxxvTRxHvCeC/M90T0lmovArWD
yIujXgEgaJbGPIiBd1vbzOPOiCeCxzpLnrHNVNctk17MB5n1oueRdswZ0gdLq43HBvwiwcCTH7rY
bs3qCzm1xSWZfBPz+yXuN+iIBQI9Ye91abbPScZbOQumuPVks/HmMRrlM2BZZ5aXBM8Q0ruyBMaV
K8AyC2NAV7gBgPgIuhWCAGabeeevXIJRl/5rKiRjOWMlFxTmDMVAU0CDFjUobgwB5iAjnd1h+m/n
N/rKQXDtqLr0FBxhVpgExmbIC8KkDUwFUQDEDk/BVmiFxDLueCOAclHyzVgBGKRCMRQe8bjVpHd7
sZIapsotXluFb4jhOMwticgRDa5zRFhcvTEWJ4bKxsmJUcNfNQoHYVum9sEqk+VSX2kR6DKyC7cc
dBgSSUoeolZp97ZCTDCct4+Dwk5Yc5Jd0gnpXxF6d5+zlU+xRIpVoXVgKzgFMohD90vT5dvRGNtr
LAEI6L38FSfeCIbXPocKhIH55tFHJsxNCiRDU7iMRSumrZzGknesrW/9kLLMq7tzSsOeyA0F3aCz
nb7QAg75y94nS6E5YgXpmBSuI1TgDjeWt86kWB7M+2xubZ6eyQH1geDShKcxvE0KA+K0WneVKTRI
pyAhXFnncz1l2U2iECKZgok0TgdBuBN3TeMnu95ZPmp9a11DfzJ3GNjktabAJJR34325wkoMsCUz
/JISjom3Ek2Sb3iTjlJ+/lKu3JNwZaC4mJsZe84rHWVRoJRsZaa4Kz9lXlkqSMbhquTfICuom+gE
hSt9JfuGYpm+gVkWrUIZM5PR+GC3qYjoZRjpJIbxwZu7GCmNJELPmeM222phRtChg9kCAbQoER1A
9/c+TpodwSynq+NcUAnis6N1NYu9TGVCanFUdC76y3GJ7obM4W9adTJE17TE+nhDkkQ53kbQKAhS
qN1GxmefEguIkQSj9GzWcY+UUS9DLd6N7eSbT2k/atRSE/OoV2+KuVBxF3faCYlB1Lf3WRGWBbIX
X2bPmlNn977KP2HvxjJcFZ5zHPQuf/LCGZFEaJnhTL1OXoYzDWQYguIYCf3QgAk66P5Poxk2lwZV
8dEscHtvJjj0M1ph9oAmyW3pRmLKQbQQugRUzgRAuGYZCjiXJfjlTJl2YN3SerNLZJzKlY4elPAV
RZ3rin4pSU4JgcBpAqExY3y2dt7gkdtBjzhYaXs4FoBlSV0AoJ9jwqoVE3pq+aem08r7hf4NdJxS
62tCLsbiw2TZ9Zvt4j7lQCAOZmqDWQPyW4LeRUmwI369uhB67t/kTuK+5ExwYmQAg7EPpUcEzYhF
cJuJgmPDyMqfOYrAZwqCaiy9Yx+bMegLBAHM9xG8Oup1xqkUzOhjep7bPFhfdf+pAn9ZBap51/88
EKcKlNm7IlD9xB9FoGESgUgumYtfHaM8o8M/i0DDY6yNCZxIO4ckOBysf9WAnvEbtmT+OmZiR6UT
Uuj8MQt3+COHUbJAT84kzmRM/i90pipk8ft5G4eDAcOxDaaa2LzF+2G48Ia5KHrdfov1pU7hOy6h
pQfjaGoNQsMuNecn/OpJt5ezlbOXl7PjfJnCvC4vDchXZHjXmo3ePmuExruyJCKLOFbERvH02OqF
lrIgozVZXGJNpmgAi2kNjT1skbugLgmwykg4YzRs2VxFOrvyx7hTBrCcl3MnApu2tokeq2dYeLBk
lDRkBvEq9dttPk6aCPflkEoQZLNEZPSrOeH70R3jCd9CIiD4DwBqFMQ/FncoEQ008YvzVstxQPRe
IPKBJsg7jNLIjxw4atvJSMria+OiuXwgkdHn0ExWSr4PjN1oevzu3vqHatpUk7H/Hp0AE/Y830Cx
7BARRRDm+7G3R+u6qGQbvRq57mRXNc2f7IT+kB7hQUlikZIWXoKjE0tkLQi1SCdMzJtUr6vspZrk
3FAn9bRuTrzMpR7vljBaehSyE5di1zHfoCJs3RAyqosj0r1elgzFxK5gZ+A0Gz1i5+7/oop+N/Rl
eKXuQZxTyLF9xCHmj6c5jMly1OiWvekjlt97p0y06o6U6Gq5/fnZeyeq5oPI/YbTQ9EPrIPP+/GD
ZtZYf6Gd+GpxtQ1rV+PaQqxo6jzhk+Wl9s0IcJV9/Ow6OSDd2oi84Y43bfmrLI0ftw0gpTkQYSrQ
AcM7JnfvRtCGFc0EKaXu6yBF61479Zx2HZ0wDcbGiXpsQUj78+/+t5PMGI4hKJAOQ6ffq5ao7zcq
mhFpHj0M60veE7I1B81ca2QpDSRaz78KqvhxH6a+HQsXoR1sLxHDs/z9+FlmUuZZnTjmK5JTmdhv
JmV9HF8g++S+ixhYcIrz2VVM+n/7JbmHUPUjzwfCwvjnxw/G5ipbTDbyywSDU2D28nIx3JFrnnB2
f/5R73Z+6ksCiUKO5CIgYPF+P8NOq8rIxsEsXmUOcNE7JkyqHnOzY43adji2Sceb/CXUi8sqIWpI
3zlDnC1PqfRqVO9FzoKIeykNC/9DmrroobbxUJr5ZQamQMzHfrTt4ldz979dGIcsaojmCFgM/e/a
JwNeJiMrvfwCKaPlKAArZenXwZjJiK6qwq2sICwGbEe/Oll/v/uY+jDpRatjMht/v2yFmqFPdeto
nxcHRx/eLYCd9NY8QYSOvjUsYHn5kcck816AumBrDpq2bX30k3BIhoekWMaW5Gd04f+XvfPajltX
0vATcRZzmMvOLakVbEkON1ySAzMJkiAYnn4+SD5zrPYeeZ37udnasttNEgQKhao/yOektvJo50C2
mi892HswcN9/tawL5slvUTbgBgPoHSyTKETr6/zderjOdNXQNc9pmAEJQnp7lssthIyOSbXMtPfU
PuppPV4bTpyxmvraddkMaqC/BMuocJP5GxOwyn/6vcnIsP3BLgX9ablN/vM1ALuxILog25n4n/EG
oWcCqjcomKlI2GpmRN1JNDc3NQAS3ggsYB2ijT5NuaA9TyhyI+Itpy/LrFOIVTstMWNh57lDkDcX
Wvs5+P3WY3236ZjpEoibVz/8Ealna+WA6FxuWf6R9xkHNaYmHos594jKTlQjy1wP1mcAMvjBbwfs
ypfHRTqBuldd66sPfc6fjKu0zokgqxReJ+/MTtEhw9rR0Z2Ade4Ig4WOeiH8TnqieZ4m2FvW2Lev
+jGHObLycYjgI5mPKy2a6wpHsDs5BhWb2dxOOSG479wcq8E8ibi0kY0RH6f+oK+G44Lwr6ECZu2X
Nsw8dYhpyman0oXsuB+tfqov09aYh4thGibm0hTGOvJlqCXNl6HqUzZLE4lGfrQhLbXuIEKKIzYS
tLUoisOvB/BQA+ZRawB3fr4xzdhgQD2zZvr1GH0SxMoqMI1qC+jX5wf8sbnK1zBP6Dr/+o5WtEAI
nCz2shSpZWCz08pJF48xGJxs5tKTAFlwMTsNz5S8jqpLq5GR80Ix8IFxlGmBZVY3YAFnpZG+omME
ZG2zgNYMyXgO6KxsCPR6ujTQdvKfTtHUTJo8hnLwoZYgfoNd7mjNMxivuc2aUnVEF2yT2KgYwBqZ
TL6QfqoVBzuZYDxH48Odshk5yUkxhs1EtxoLOgKjFX8MS9CB+WaBgFyORzx7FDTBZIGNGiL9O6E6
upl9skUeIkdLdTq1TqxQxcd1Xr93RNyJAttuQSBAi1jGev52qEbwG6fQ1lEXyIa7fEszNy5LASpr
yG9GIgHNIxDTSG5p5un5wxFzTn64UUpdde0HAUtwBl3FTHEW36fqQYWS28tpIum8LUY2O7vuAXB5
n7PB5Zd15MwBt5W7kR7jVlWM4DCN2M2vljDQc64kBXQPuZzo6iBq7+spqlNrdS/Cmv/S/yhZwEEu
iQ2kjtA+t5hFss7nbl508EjR4HjCALnTSxq9c760M12LN+H15I10LYXlqHvMO21Ggc6A6OeDmkwa
DCcFDoAvbLseJMyauhIY8vXkZFknN6KItG/eFJbIu29y8z5KPSwxNxYAIh2Z0hLR6x2dqh20ykQ4
O1nMiWtumNvAHhJliuXWm2ftXxn2VK2h7lSULWoSBTCP177nqaJbpRzZW1SZ49zJbhoLiny/IlfX
b5hG8ox/rc1axhYl68FG0kbvEA3u11PZ98Z4WXCy5R4Bv/FuWjeEevxU9xaQJSqa+Zw0H0EhxW59
3fRNNIXUiDJ3xCmhawg3Wxo5+QzhVQxNFK0G8vZJrRCOQfkcLs3gJRB9CsKs/20ZQSMgqGu5M88c
5aC9OD936ZSmyVXRpIMV4AdDXZXJk2GSx0yU49yKXQHunt/MYeqZQ6h2tkVy2WjdRUwsbTV0SER5
DqESHWVGaVMVvI96NUFTH9prwAQ2ITev24G3VCMHxV7QzNXId6GSpqMgrfOImWtmIpZqZ0ox8kmO
MMiqrmQX67hUmEqXO2WuM8KUdjzhSbiTz/jJ1CA6KEaRtWDZsmdCqbZz0A3h7bezdxmiOuEewrJf
uPF0MgYu7Vq0vKkKo/DLXj+LgF2+osHHygvdUm+yUg4t03GibdvA7Q+7mfgwh6nh3kzm3EGJJkR5
COy3SM+lWzShUJVC8VunWCaFivlbFbacRn6dQ4j6enDGpnVwfiyo9iJ9kqQ50tnHIV+wp6ei5ySb
Nh7reOuaQ9x+RAyAh88aNv/5ReuROw7yEVuNHRpIAQs7x1qHyRNmOAShFfQ6rasMeV+CjNs4TNwl
m3Ti7DfIJ4k1uvBsWpbBrHS2TtBFUM7IRBOT9WnAzpNrF0BHYOHPgdbPtY3qI0L2UQGQBySVNftf
UUkpu49mNZX3kW1HOXOoAyZ04ddCQYxv1CC+YTDUGsg2VIZ7irlTBxalyNqvlF3ptRdB3ZTf3bxc
ug8VZd3uacQQY7xZIgPa2WiU4MMgLo+ixrYN+hyquq7jQsMeRy9U112L/VKzgvtcWVeIjNDHj0MJ
g6LlHXUE+SlsF4y5a9W5aJxPhdIp/dKNM/IbYBzsaAWgdpZfIjg67ke/RHIpganhFpOBPJ49x7gA
oGZkxczTOJFHmbKTletgweNl2URZuZgw1eyFqhgVtxjPXFmcUJeyxE5FQUI7gwRtuU9yinBsfL4M
LnrKb5AHXWlb69kiws0rP5EQFAGFBTli4YHdrROvTA6B7chN25jjchlHaBrurdHCui4WkwX2RYJx
yhCfcjzjVtA3ch+Gvu3yZm9iMyXabYRJxnQ/ycmRJ+h2tfHBNdx+wSKYWb3yOt/vHpYAMDii5dIP
OrEPJw9NpJWp4J9sMHkqiz0UJhj7S+Ni+72KMJaz03XQLX0bPltVHtbfU+yz1LQpfDm39Es8Z8AF
OhBNACCl96S5l3HdeiHkStMr/X2MYqh/jXaUURR75QvS2vRHGtbg2yzMPIsBW3HLk/Pib8G8OYYW
7uJhcjxDXrJvcy5j3/qAiEsDgmSELcO2JCqnEt7DOHtCuBsRj12MOJCJzVRxmFXgkY3F5siC6aZZ
55rwz6n37qHGK72tRAQSFncb6vSxYwNnOaSuryNc5Zk6w0SwMrbiXQ77KkEv3enFGF4uqCaTknpp
q9h66Dnk7DJg0BJ72QOx4zsBAjU6+4Mhr08OQQ5+mlIMvmD0pIa2yvzPXt1DJtlbAqp8BI1JUmsQ
Q+sRJr2+J7MPC4qb9h7DI7Jg7Ex1Fh3NoyCW5SFewCM9hjHG58OB8GZulVX7i3OIXLskJarpaxJT
qqEyeVDyEhSD8G2oOh0Qq9Jmjx7pgZKaIBIoGSBRB3rnBIY3caddkgZcewgWqMwfleuBG103SA7y
ZSY8KNZS7zUd999HuY6ThRuUfASiaMQd1bHore4p6iKdr0axItrgydH5z0Bt6gbhjDyor5ImV2yL
UgidS9Ui0CkLuu16jJAp9qX1E03fGdrzWFoKzyT2Q+oGtEviibGNTERWqhMxfNYp0ku5x8e2jF3q
1w4Gz4BxLBpTVyz8aNR3bzlYMxlrMBd51EBVrDh0lAiykriG7CvcwdAjG18c/jUSS8sSWg3CWchI
UU7lGxuaBZULm7WeQ0SXjFJPxQx4OWeWaoq9zyhAUnt6fY1smJb1yPFvkPdhGyOagztwbfGOBuBN
Fr2jpFBjervAmYijL6oASVgcUuT1q/EIb8ZX9wscGp7KWrDpmbbQBFWWHoVZ66TClHQqsV21Z32Q
D/2WyVJRr7OmdTaCv5MbF/UPEmc71tm8akTXeQdTJL0KbxeZQju78sFQcD/z4up14DidyaOqgiQT
orCrl0iLLz0FL3i9fCBWrk7UMPUkPWxp09UrmlQZbc3WDkBjbZLX3TVVKmHTHJqRRHXtOIIs0Hc6
nW9KX8/HuMxzMmtMfzhqx0tQ8wt/rj9NVtItt2MZBmyXVsp92es0DXRqSBE/0cm8I/Tdvi6PAkYh
NzuMDS8ViLcjqytnclTyVYVjQusYDDzQGVoZzIVync3kBLgndK6eu2VtR/WpGq1EyU1S9qE1XPAF
lUNSC62ddztA8+ZaWIHwCKZQ9Ibz3tKpdYQ2mfoAYCXrnlQHvLlaAdQW6AJwtnSdK3e0JMZRsWcz
z9Dp0IdAsGmc2MDS6RfSuxHpJQdP3rOcvWW+dEab8xPwh3kCoWQ7bfGkUmtiUOLXzKdPTEWu0Tdh
x9PiM/PiOP96Ig6XOiIxmJLE5PRVJ63DbwlnFoiThmFM3xw1tMutaSiU/BHTSzmOqLRLeuMAz8MZ
7v2ldPBoMkaL8afHpA/dKHfqLAypH33ID6JOJ/IJSDp1H/exJo7LioIusLbQWEC9dsqjtxREXrM8
Muo64i5Wy5n32IKnGnt9fmA6+R6Xp7SHCQpfK4jJ/kEE3kRDD9sIpv4B8Ag9xbkIyaNelx7mFjq1
Ko0KxRSUAGEftdDaVa8nRj3q+hFQy1lPycAMx/rGdCcsGxmQRZ+4PfwJGMjRCvQS57SciJNPu1br
m2IGsY/TehruUJdY+iN4Sas8hDTT+46NzXDJD0BaKkIniNuGr4lcGOUR6g61zkTt2iaKgw9+OTUi
UAXU8tiCtSVIkfAP/rqncmWX2yhR+hT4erAo40XfdLNM2vWIVTbTr5IhfM8LV4U5E51DEh399ZjW
Na80swZ96wMavLgbYKCId8HWmGoXrStBcYQPLjMzCvS+DliS12ika8AYGRRW38j6hc5A6tTFk9NM
+oQ+v0aOaOp1oltZhZ6V71eN/qFmBGQHyh0NnQAd77MCazg1wO6jcnyeYqnPmQokeOpt8Cluy2jV
Dx3P+5dLnlfVKFMhl+uhmQv+OyRxelvunEVdh6akee/5o+7evE6NMjR0Zff9p/vzUhqrZEMopGGk
kTxvL2UjkrooqhPP4Bl1fGp810FvcyJYE7vev9ZLNfBt+U2T7RyQ35A0/+xK9aYFiRh4yPPkVGiv
Xg5pZTMTPemmLMMUziZ7IW72BI0BEUKgH4Mq27Bcgxfm3E0VQnc2Io68Ova8RuZfvY+6S/QRoQ6g
G2dXYA1Gfnv/9v8YKoeyMImtBYDLAl6l//53SFAXo2Q8Bt6TzKyJ+2CD0sdCNleOUO9f6o85h/uk
E9EKohMEdfa83k0aldmYP4qnKEV3fT7EM9q1j9YS6CXix8n41yl33kIB42QFvg3jk6qp/Qecq2t7
7Cep3z/h36pjlERAc7nFsVlvEDbigfMmjsj3SSZmfv9R2oHZ3RDtKu8vjLbzYaZr6iExr7uqLDdU
Ed4O81jLSY1R4nylJsHRERksqlS4Burj/H82yjZ0YZ7WgeEa0EE6L14XJIahgwvaVxywguIkRamP
5lnOSe2gkABkr33/gmci+oGNgj1lZ5q8Hh0+ykdvH03m4UIwmbuvHU6BzKDOiXWYIyjinIkRVFui
R5dmSH9Fa3xkkPv7Wx/lj8H1mcSwsyDnoYGE//zbO+CUqM2DgvorcsxzUm/pZS3FlqpHGuX717RF
dalOjTHE0PH7V1HcgP7L8aLyJSiP4/g6OBUgNMaI0v/MKm7genNaWEpg6A55xIiK7CZ0JNCLVWYV
kmgdjJ7eLBVq3Djfp7HJwke0kh466i7BQPHIAoEyZqRvlOi2Icm8LY8ZreVw2TSFoXOrHhgNwcLQ
SreUkSH38M7AUZDbBL2jt3iBmDm3FbwW6HtSe6ImFEidNOWhfMn4bEsny3Fe5UQSEwg74x8mOUoE
KCtPgN8v07qgLPv++z9f1sQ9YFG+B9gdEsYfU3vgZJEa6Ft+adLWIWdNBE5mzSZapM4AfpWs37+k
Xi2/h1wdaqOXHg0MdeQTzlrdNMpm2fbh+CVKgLM62yGL/OIEv98ujGuzN7kDzQ8ZOERNwMd5EXDx
9N28fxvnTw4dEAYl4mvgOFlzL+3v32Jn7beYx9oy/VI0lD8vsqqT1YNdjHZ3ZffyL4Lz55McUKqH
2FTo+kgOwDk+m+Q+bsyYy/b9V9Uil/jo5YGeFrC+dGb1/nPZZ0uab8ccAssGuNrsC455lh0k42SW
Za3shxrxRBw6KV/KZAe1OuOkm+Uju8OKhnfFj4CCDfNy0oqUHNY8xFAEZV1KMBx5dP9ejE5JHmot
rk7Us4QTShoQBL5BKUx1WWsydBkglEiLpkcV+rpMDBqLTyuIyDycUXjsRUkCn4+wopCK51RlgWRr
j4ZBHC13cJUS91VU49v038mP5h/AC2fjzRhEHOFM1qmLic4fHVMPsmZU+aj9DVWud+a4oVUB5mps
ODm/P97O2XzW75Tg5QO48NkW/6DFjo2gpmq58X3oNi/XGhBVui6w3dZbE6GeEPTaey8B6TAKNaIu
TO5fv3Vq0BUCYzQZXM8NdD2Ts6Ag0tkVOu7j0cCJz1iuepaqTwdLVMW4RwmbA9O2wEqMQyMqxRxL
fjX+6BbpJpKBPjRrZwnNhb9TTaVfOIpWXMV46Y4Hr6UJ2BO6xmt4qX6TuUXWgqYPlEPeu+wyXVj+
1UJjRTJ3c3oe7HtxTJUDNqRVjZRA3h/S8O3rC4IAhwDA4gCWPPZCzzybwi1PAApWxN9K5QSf8w46
4s6mPXrwi1C41PhTuYOBGeHSm5XxRrhxfajsonxUaKGrVR0ONU3TBCknIIn9yk9l+xBzfu2hZPUq
Xaehsg9ZlN9VtNq+aX4VLNUOWeA1vRz/Rnlxc5kis3hiR0oXLfyNW5fR586nhT6yukCcKMdWGpil
i9yQVzwaiyE5HJRAE9d91N267ErIuyNDfArmTm2kmNstPfHyEftAF/FPmy5BLiTlvKYYaeFJq/wK
asK7hI+sNWGX1rQgo3TBvc3+/CTSxvJWceenlDCSvt/beV3fj4EzPGaOg6NfaBpuvTGo230pBpi3
pSG6j77b96RF8XDIpyHf0SaYBeBUmstr0IjwoQa3Ukj1YHc7RnDzwjTPPw1IQVA1Rx5vI8euuV9y
7PdIPw04YcD316Zv3rkSV2Ib1Z+vEO/ch3TwhnU6+dVlEfTZ1s3m7G9E7jd7BhOCtjLBzCNV0Iot
53CahvJPAIS9/s77Qjjahqm79ctG5rw203/4y/T7h4sFAOX0Nk8Od56RxItLatdF9XeESCowQpN5
D7bT7ldVVZyU6wyc/5KmuqNFCG7y/Wv/MfNfHhOsDi0bgvg5Dmzw+qgBJV99xz2TgyuEfki5lWMB
fHv/Qi/f9O9t+GVIXdsGeID1ltZHOFtjk10VtgIr890aG9aMY7NdrFDUsjJA7mXwAT/cWJP6DYDs
pRcJ5CQEmmhIPmGGjUx5jvqw9G86v4suaqMNHthvYY9SV5SPVUXyYsu6QiVcWu4dOhj1z2rAAKWm
PHun7Nn+FOWcUzHctkyxTorkxoHYnq6MoPKp3hT04izY4Aezi+bveYOEXt4O3c5KPPPJhCi2Xnh/
f8mFzkB4DIlOA0iDGBcENOzzlMAygn5yAdV/dzEvREkyc9K90+TlYVqmp9qKyi+OEU2bwU5oerTI
hxzA+MJ6eP/NeHrk37yZQIM1NR4Ebizb+FmCZBVxRfsgDb4nA40DymldsZpCeDybni6J3Ci3Qsqt
ktOwygxR0e1pqkND3eqkhK8kxqmJcbNYCVaPy0zhrAM+XGXU09ddYZyyuQ6uZmfe107l3FMDLW8a
g5e28mmMzetFTrRd8gZVsUBEwQfSRtXsRjf7Oft5du0EqAPDQ/YOWYKrd+XJUiKS3Q/Pc5kOD+hU
FHdGDXlh5U/WuHPQMBtWDqzHe2wZU/QMWqT+VTpZ0UrJhBZAkLc5jRD2xI+48WJAn87uJ4uqdryi
6eBNf5n2b2FJvGLG1qW6gGoRp9ngXJBloCTMew9i1Ntd79rAMeYRm/gZpHZbm9cWPo9/O9JZb4Gv
L5ckN+CIAwsLCN65lR6i7WVXsXX+gMntXlA2g4wUI6N3SaEy39GIkER6rGe+C8RvHrNkkldZFpl3
hoqc3ftT60Xu4u3UItUkfNohMjG+dQ4G7Ea00cKkrn8kEw0Gzu1N/LXpFpzC22rGmsW0CyocVYNg
AMrUKabWqe8dUuCwG+okUYQNhYGmXdfAAMgQo9OlX0rotdGnp8LP+kPrONO1P6Qwkb0gcdF5jOwR
G0sLMYpEmBV+l1aIBTjS22KPHbXY5YU0TvCeFB8YA+PqRcNihhRfb3LExXfJyO69biwoJBVtXjJK
B92lVdmW+AurMaeHS9Pz0VMcTclF+o/SnupjWpVOh5A6cBlmIu2itU/V79aJspqWK4i6iY4mfSXp
l2WyRgRanEYR9TBWM+GDqw3tBjdwyP7d3kRR+pPsmuwznBv5080Q14GxmoPhf//t/Bl/AtR5Ac0B
XfN5P+ch2bHphBbTWPzAq9CEMj1G+TMoj5muIa+MM1XwfemHGLqN8Yzi7IiMq6/E36ht/zRhEQoj
bXZArkIqPCt3gJTqq34Jyh8xDLBh8/JC/GVIy6us9CUiKiq6b7t62KFxEG9FFE9f0rBTgnkCW/0v
Y/IPCxZBYWrLhA6wlueI3aUaRtVgGvAjCUz/Y+tb/QccotDfpLB7yb44XA9lKy8E0lTHcnKsk6wD
NjLkiqfbDOcnAMn1qK4yY3B+gpxvvVWIccPHv9zl2zOAXuMQ8xyoeTaYaQ6VZ0OGi9ZcRa07/KDq
3SYPZBb4UVNJnFcDBhzXtq8Kekr94oebsPOan+liBggWxLYY907Q9I9eVCZXZjAWD3aHTuV6YBfY
dTkCq+aSIH/qtrR7X+fb//Ms7mcBafbpe5Xh/4UKbfZN/u7BirZaCF/z/yZaXDVD1mdP9Vuuxeu/
+hfjNvyvt+qC9r/IFkakRb21JBOOUsB2qWL/L9vCcf5Lh17QeyELnD3h34xbmy/UK5+DD1uFRvz+
R2yLt3kkRUpLU1Pp6ej+AMms/vvfqhtQRMcBF/Tu6NVxwIEyN6wPZtoupxCXpl3TUnVaeSIwn3sj
iO+DNOqOc1XHFwa6Qhd9Zyt0sgPrqjH9Gur+ota2skrkQGmi34ei6jdBKrxs25gyAiGYTzdAq4Yf
eWdbVxPqpY+u3cqtqEIweqBJT43pptOmtgO16QCkra0EyvxeVsZyaFr0v4d6mP5ScnkbOPQIuK5v
u94LQ9f+41iez4SkRglxnDoUjPwYamsyD3jbSamfi/v+bYr8Q8nhbT3p9Xp0ZBxyNx/Q4nkIsDXu
mIxFHEejg3iYlM8cpNU6ixmD96/0tsDzcqUA0gAiY1i5klToJ//t3S4DLmF96pfHESEODcKdV9Hs
GXsUWbKPCrW5/Zzm8Yf3L/oPj6dP5exMTCYEpPTf/3bR3LT7sar78jj46UwlRTP0epP21AYZlG5+
DU3/Z/3mn66muUJ0m6ivACJ/ezXopyNclxz5WnME7VV31bKb/M4ab4Yy+tsW8zbffhlPQOBchAL/
P+x3dBbLtCrM7NimU+nQxY17dIvaqiFWWyCO53S6GbrBuhrxZzgsyKeIbdb7/X/8zBQ6aK3hgQn1
BuWyt89cwrmcOSPlx3bQusEQaPqNn8TxfeQLaIrvv84/5xCbFYKEkBdo6QEPfHuxro1KR3Z+fhTW
stzR+e430mAFi1QU6XHuMy/fBDUg/r9c988XC9idsi7NBghGyMi9vS42M2OW+CI/1mOrkEPmbY6o
84J5zob8P7uW5ujjG89uTFDlWH0uGYq330hWGWXHzGqBAE6YSq6E2c2XyTw6D++P51m8fbmWR2eU
w0Vgut554yYHwWJ0BnNomZfRerENuihpE1ib96/ztikGSYBn0vQaxMpfpqv9dvwGH9oJAPjsGJue
ytG9yXkod67tVawc72OaoTAFFFbCpQX8mMe4eCbpX4qrZ3NH3wMHUwId1AWdk53NHTXT04bnzD2o
PtkIS7U2DoBGcgIoUF00Sehtet+Z/xLPX4bw32eXl0fn2MaDc4piD30pGv4WgVTiq2aJg+yYInT5
CdG86gIdzPka1kAKAk3UGLMZDWJMWNklwToe4TcfR7+evlt+2XbfhIqqiyKu40MCoP0CZ1f+s+TG
3ftv6J/u06MxH1E7QnWSctjbV1QgJz4ugWEc4C75z0AU3W5NOTXiFSE/4B9qIxcBkm9GEGyNZixO
JvUQjJYo5R4HcBCXkYzi45SFznVk+D3oCEW1fdOkUaD279/rn7MWHIFusQN7oqx3fqtmVAOZLsfs
WEXmDAU4ob8F87iX2/evc7bqmTF0Fnll4AaQbCOZfzskmUHfk+59dmzGZrlDP5ASZ11Q7QQO5f0t
Fz8L5y8Xo0QIdsDztHnz2fhT8PV6zO4I501XbJIwVhuzFMO6ZKkAMBXJWoANubQwD/9iVDUWEo0n
/zKwFqcTnuntdIU4Sx83ooLtcDtnz1zS8bNZGfEBvYZuPgalTTBFlcoRx2QQy50BHuHZS2OQbhmk
i9Us0jzh/wuaMKBwvcsebdaLaBjmW6kie4B2nosOlyvJ8cAuquVUpn18kYIT+wDGKP6ppqFEEqJE
s6+kZYnVRed/DNqpuMBk17tU6AjD3K5G+4OHP8dHPxXmQYIIQr7C5Zhnisy4N1AoupuT2EH6q07V
TdWZ8qlEYvQZnYX41BtYCq+iqY5/YqvqiQtY99WyqrFrPCyIA/W7PEgh+AOB1jkClUxzhcUpvpBR
bH2rh8p5GMGttSsoEWjt9igI/SyVdFG1BFxLoyHM01PisLKBWmAu2qnseUgJ3k2feD8Bv4UIklSk
jYD4zTBZj1hlDTsz9d39SGul34BzwqE6GGz0zdrgC5jDLvzQWDnzjdWfFLuiibg8/VjjLrR7YqcJ
y/TL4iLZNUFWOAX63wLF5DbwaHS36Oj3tEPQNriPGmc+sc+Ujy1EhZuX4Y39UW5tBOruhNPSnG04
NsM+tBLUBWyzoiiS4LuybZc0F9vgJVqhQnXZyYUIhbKm8bVuCmYkAGPLRIcU9xckOxm7GWPbft2Z
ZnrvIgb9aegA2uEnYta3TmEH1EZcvmdMtfWNFMmmb4PsuTMjagJx183JPlqwGl0hXON9zBPHeQgB
biNbbTO2lWNnz2VS2Tura9ynXINRgZ/2JapT0N/uPORc5VoWHbZpqp1ucKxV6YZuY/aV8z+hCVz5
ozWbbrl19Dysxia+CId8xPw8xZdus0wWCYxVNQukaeBvK4qVyykBKh5T+cIGdSV7tdxVngFobsFk
aDOkvYDGxQNQZc/HJV73TDAkylLxhA+yeQB+zuz1Cne67eJ0ag5DyonB9xrj3gepw3tM3PmU0PS6
KEIgYYuBVgtIdWqbJeYNeWAdkhFzBIhT3no2mu4OkbnsaIZdfYmUi7vOoElufLs3T9AslosBvYsD
wrLxfSIDwLBD8dT6daFlHYs1PbfgplrQYkT/bk2pctL2yM6XMGTZ4We0N5tZ0vlEaMQEs77Gesle
4yja7aKpqdZuB2mVwplrP0aZuoEMMF+A892ltOB345A2F1RmKD8bSLCgdh7Rf+KxyiLs1kDVys2s
5LCyezemRud+QTvFOSVVdtNNMlwp5UwbNYeoOlK53Xlt9uDHPlK2vbAvS9TFzKHwAC/V476IKnNd
LPgfU40ApS5cDBaj9AMass+RsJ9oEkLnMioHYpWL6tui7KNhhp9bv4+pvDmiREUzZFcbhP1VS+wu
ILpWys6uUz8bN4Xr3ysVXzZ1kHyWwl5Ags/TRQqvaS2AcW4aRG+ufdpXJwkK/s7KsC4ylFdslsW/
ot2DzgneTXkAT0IHkaT/0ZqF0IJLOSabsYpb7b+YX1iNi8JobCTB1eCV3FBTuo4JpMNeHrzFdXbT
WMbDVio7upSW1d6QKLnpZkR3BN8cs3zoxJw8DLY5fpwbj/yh6QXKP3i4zKcCndstZbAAZQ8ZfofQ
1R2n0p+OKSrWXJQs+tQl5ofQG8cPwTjPW2cZhq3ef5APaAS9xky01W0vg2UdsNLKI9QBUgG7QHC4
m8lFCmQ+6qL2ezhIQUYoqjFscWN2hAAm4kHkHH0G5t+mIs3bRYvp7imJ4YnRCbu66U35CHuh3Vhj
pq7ddglzhNqaEPQKMEyg77ldXRoCf5s6L7xbTTfa+eBaPsk8GS/xXdrILB4vQAXAVbHDMfrq5FOP
Y0pt9wALiZPHOurSC6clb1/ZY9gfFrC7YgVxU3JEKI27cu6CbTV3n+sm9Hao5qkvaJ+EP6U7IdLo
15Z9b1de8Gkal2jZmx4q9aimTPTkB/IxWuEHgXr/9WS06C6XPczAphFr+qnBgRN0dIgmC1lTYQ3d
D2GH4VZQ871oJZ3VyjVPEb1Y3Igj6wpMQE0KUwfA7Mvoroxb9CFiJ3Y4/OepS5mis+B1IgGD3GN0
wUuNPk7esGzYhLXQHVge9F7N/i6QBlUDbMqwpG/tDYpaW0iNNR7YceLtqVGXOx9qzHYMM/ehmPvm
FtIJPOvYyo+4+9gnRjCDRaDA5cbWXnkeExtENAVXBJmqyL5N2tI7eFgYXkUJkk2dWHDY8VprUyEK
sy8RyNiVSx8+DZJHItC0a9WPGYqsEovcVREjUfHC4F7VozYSAzP8WJuTc43aWXODLhNpP8gniJc9
HqzbuTAaFxCZKvfY2QZfPNy57nm0BOspL2w2cYxPzAxk/4fkOH4lnXG4k66B5bojItWj+lizp7vR
iHNto7xrTuxij7ViwAHAai5KBG5ZXWjejnlVwvz15A323dPBQdgH9DL6r9W0dMcRLiREuTi8bJAO
POVDHe7dRFXPRd0G/rYQUfvJTbx2B7ey+Bl5VRZrvcjmaOCEtBV5iXZYL75WfPW2axs8qCNvsct1
D975yRRuPhIEULyFtUcuC9Ua8ci09jbIYiGcGc+4Sjb5ljeebYvK/jYa9DSzQVDGx5ABMHqSzKcg
GprnwKrVxQIneIOX63Tbpg40FG9GsDYs5K2FmMVz3hXE7LZk1yAIdC8WX26Avv6DNAcK0N98fBTc
lenWU/ozNeASygx+Dgtb4ngKAu1n66f1afKEfZ2N3vBgJLF6drss/JIMEbAZxKGMcjOZS+ix7c0V
BnIIgVX1Af3a+QLP8gjVZ199mqWVXZtF1W6MUJUILbd5swJxbK3JopJrwMjBBh4lVQ18XY8e0kQO
dyUnOpe5eQIKXW7KYmTPaOx5rtZYA/k+2SXERQSh2ulgxaO8sLpKDBvp4svGtrUkH0MHuZb15NnD
Eal7thGL6hDzsoyIPv1i3GdAI3aQnHhvbAp7B1DXhViy4RuUooUTRlpuaqNiFPAi/RqD9C51Rck8
aZZMDVm3mw5YHcSPs2c7T4YtjJ/oe45XMaTDe69e8rXV8LUTEJAHCzboyh687muMRAnppBnhlJc9
kBjHGN9hYpYW7QffeUxgC+M4QHiNy5hJVT2aeGmuzND4EKgJ8eOgXtY0z3ZYu/mrrpbz2i3MajWR
nOBBR3Ma7xaIn5yxUZp2m3U0Zc9FaSNJZ3BOXg2pbNgqkwOKmfZu8McfaMZGe87y7rrt7GhXgIYD
HOVf2H3lIWOnrFXlDbswidDgDW16GjHT2cwn6xIV7z1GZk+L4IvTZgj3eFCht1LN5d6V2UQjBPoY
rMjklNfqpyFMBzcjtFl9pTDGorALgjKdLrL/Ye/MeuNWzq39ixhwKBbJy4/suVut0Rp8Q8jyNmey
ijP567+nvc8+JwkQBLkPkJtgW7LcIqveYa1ntQuwAwzkoT2PC+9zO+wxCZg/ip4NLD0+tw6F0EkM
jdh2QaZ31dR3F7Of80thzftCggJ2KLgimmqJIGS+nySWoVTM8uDiGYzMavRpTdQGH0HKBdHED7PV
EctGvu3O77s/+pYsa2U0696ShP5VOvjeYjDatYuS514xO1gT85hP3ePgGJ8ZIXxNjBAHu8W1rrpT
ZeiPqVrvhyI+9Y38ptr4jiOXgVGZ9Wfi5X6xcHklgOPJA3MIegaFS15+BmY27deCIaXXBz+AKnbR
2ibDJjAs91tTkntlNvaPmSCzU2kkHPKpfSwltrPANnf5oM5zCugbXsIXsVuoGCqm2qFr0BEk0zC8
ASf8msfsSDyYvdOE5k3REizJm6nAz2Pd9IuTaNVI4NQSZk3m7K11CzDgfR7n7jD06cXV30x/HF60
j2E17bJnz0nSgzcFRdTqcXg37Jb442nsweVP7WUYWuPQzkT+Gf5inlwn896x1dX7DOOHv4Ev0B4z
LRmPTsQKQ4UO0nnfTBYldNYWIlwtQm/70TXaXUqcCqu24CfKg8U4GapkoBMWOPPNvT3ak3Pu/Qr6
NCCHEfSXjScXtJ4u8k/IR3JicGHF/RG+G080+yrVhkw1RX7LqiuhmHXEWIYF9dABcZJnXHtCsFke
G02uQyNgaCq7iZazCDDFDXb84SdF/AuaAS8gfysrBpcAuZZShEZqA72AtijhsR/QSRFcieaEnQa0
2vgDpCKBnDfgL1RgLHzZOl9xh9AC63i5M4RLl5x5xhY3pTSvyN6ycdsHC23H4HEsTai5otq6dSdW
No9/5Ks93edysS6mVawITdrilBZT/IHdliF3At70ycKGuZUuq07mXaP5o2km6d716XhreYMeJGDq
qu5N1yOlQ2lIc4/Bvj1S2/OtDba2mOxp0AHrJesO8Tv91ST777Ks7E3WUv6F8Pof3HYlR26siftO
cvQYTXu0i46LtHPik5O6DAU6mnx/8JgR3DY1v/8+RGzGdmlkCxvBYWdTlOPe9ET1/vuPBH5lP5mS
tp/gxWDvue56ALqpPruqpwebW5spge9M99NK2WPQbLLrWWv5HBR8mFmbEmjHGn73e1Csypk1CiYU
rKjMjUvi2M0wy+DnGQE/YoUI8iTXvt5L1AZvTdbzD8hyviPnyPrYMXh5cLPSeocGxm+9Rk1yjPES
HlukVg/FTL2LxQYqaDGsd7Nalj6aAawegX/FL8ql7dPE6DQRSX56T6l2k8sNIJM3YxFPBfmiTEUY
XnIYDBbdCQqiTSNGVx8LCDkVz7+5GpegSdQnwz9SjIqciaK/noOW0PHQKoOekYyOe/RuydoAL5gm
cWHHbF5da3LPgEvYkK0uw6t4LU6/nzsjq9cdWT8G5T+gwbIt18cUnR1t0mzcfr5Uxb+QxfDPNWiz
Hsvh9pmUA1s2i//L72q+QnLnY2NIGQlLrXc2PMF9cxvFdUO9oiKMsXKXE3rBJgOuIHgCemHyvYPx
9g3LXD5jgjCwohBsrsqGeb5HuPSMYO69MvmSohbt0atv/7Xp+bQseWNYYsJY0LSZPDtrS5ipngzz
PbVckW+KHh9t1vHcpwblteUxZ938HjxZhh3/Wi3BUCnnaXJWvmk+G80no8SavM7aHr+hwrAugTXF
pzGNm884Rbe3xCmvjpHyCqOiYzc59fEpVlbzWbCzPwZ6NlCUAgNHj9aWsfVEc8C/sLYl4684SQoq
YIz8+6DO7At9S/vWB7ePtzLL4gQRdr0bu8Z+mgp0gb9fWLsr0p8VUudPqC381TMW0RPO9PjYM3Kt
wsE3us8Vn1gCk+Kx13xd0GbFmcP3B1K8MUqtjNajV181YXFRwDJv341tfMIHUu8xcvKyz7yByHkC
JhY1Ptt27LcJdNE7hxH4narG+KOd3MWNVrla5zKxrXtiKuKTWzr85LfoI4IROA73qB8ZfrAW9Tfu
7SmYFKM5V4ElDQGNEQbh9/SEUzDwlJCp/iMxc/XJKtIgbjlVvNNN65LaTHe6G+AcfASCTyqRifGy
0hD88iCmVjeCJ89ge2Oae66KT1mCyo86ACCzAVllg0WDts+X6YgGhT45osGY3/Evzd/n0WcL1VGQ
Q8TjktmmlBXcjCqHltmN9TWd+uElMyf/pxpF/Ctr5uA0umm5oOvhZhIZKb6L6y1JGNQ8AWOg448c
2Ae5m63TxhuvYcC9IX2++R+PyX+FDv9W6CCYxP9rncP/azOUQ/+kcrh9yV9ESTNAysC+icUvqkiG
hf8rcmC7jgBCsIwC6+2z5WD8/RdWnHjF21cB1sBVwn/hG/4PUtIBKUmLzj6Oqp/dtf+faBzQRfzj
iN3EjsbPRSwfJjh+vH9ehFfa67q5kNPFyriTND6ECbM7fAtXNuaZ6YtvV+hGiTwa9oVdlZX51iO5
tZDNI2FgKiH6tQ1vHkR7WyK2YbIAi7XWyn/OAG90pNIOeY1DNFLTLOqdcCbSQGjNFuItpgkfKMJ0
uxqP7YBDZezCtadVVXd1ueT1ZhwztOeklNcXN87nE8q5kUI342xYSEF5gZ3FAN2QJDg3435qRi+J
zDnYBG6uLvnN6F8h27ZCl9DkF0Zq0Fkzwj2gaVS3oCnkDcF2wlUxQY1doYBL5lJPa0HWkqlsulqE
3uNdZqZYle30JsNsx4GsoYDQ73Jfz0wDgDaUnDZBQyFbJdq7BnidwUktJoRlwyDeRaql50wrxgE/
AU6RtBLFQTFy2eVr6+FdhlvCME7cwnQ46sZ7243rj35arKeJBnfcI9HuN2nXodhL1GKDak7YIHQF
oVNMw8b3vhXLa7w2eMnbRKv5SFnBCRW3DKHJijEH+x1Xu75MrlXuO1u2W2EV45YMEW3BL2gvE3A8
xXDam7YmvgTyxYvJPSL38F6DfJkvCFBJXsBBp/td2lHYMLm0xMbAw2g+allsbZi61d7pyxhxozvj
Bct7L8w6JDMA06vRAwIgCKk1B4HkX47VQdOgbECMDv7OnqZpO/V5ExEuNcIcs+n/wzZRigaPzRrH
bmaSI25B5XV5G3c3WvfWZOHyWdGz2Lugrdz90MzqmeYyPQP/KN/hl0nqFowZEXm6/aEc01tOe8vM
mTEb8mNUdy24Jh0prHM8NNZsjVvEtJyvYzJvUwA097OrFZjsFoaIFsmJBczshY1TFaBZnNtMIR2g
a+dGc+zj3D72lUfajOvF33kbWiwUFK0/APQRTrJ0/Vjsk17bLwShDceprbydXaId5yCPu2dfjF+o
NIzb2HndxOBiyEguF5Z9nnKqaEmgeUWJ5DarJN6HInX9jxulfg8WTTJpRDRobdzRJuAM4LKz6WL9
4kILumqsKz/Kvoo3g06WVxYj1SFeIT1HhkEOe6gMhrMjoYL3C2vfq3ZzRkB9k+dZCO0rjtyuuLEO
4uabTHQPAiegpg4yZp+6rGZMS3H5VAhlRyCM1H4kkKxvfJ5DLxbwoOn9HyGSDNHCairYNbWwcUi4
0EvOSvl5OLi9um+rONh10iz/qK1iOQLQbyKSMXLqviVgSN1/5YClNs5CiDUbHXheJSLaRtifrCDf
3LLlhmVFNMM9sD22lRohcEKmttKpGuTDRM5Rwl9buHJY2j/lEf+9Ff/NrQgB9ibJ+9fX4l1241e3
2d9rBv/ni/5S/3Ev3oS6jHXc3/fbX6HD7t+A5t6MYB6X3l9xw+bfELyQzGN7yGpN5/aX/3UfyttV
af9WxGA+/w/jhl3nn5QZ3KuejWzY/X33Ikf9p51za0lcEjpJT6trEi6PtPnmB+B0theOLjF+mEQx
XQ3XbZ7YMtZXxutEc/qVaUXA6POt5WXmc94X67Jt7bm4Z5tHTLY0aupir93PQeacemCNYYWKUG9c
f/ZBLcQBntm4mDyQi256HvEPXswEMlHYABkFu1k84IHz95UZpPuYgJm9KErR09cb8aZjF/3b5nss
uODvho4564q8jci/AXJoWE2+ffbmZvrO5GxhqefFYCPSYdznpBIexroh9lwLci2Q+8zHgdFWsTaf
XlH6d2vB9B/Mht9v+QPJdhrlzAk8y/sJ4k2ytWRQmnCfGvNoLbE4FK1tfE1Nq3/hcgjuwcr4x4ZN
DGp5mPBcfsp6wMY57MHEt0+iEyxO2CDRs5DdWEUMRf/IzcaMcveWtwipjpEHlLQrW9vk3KnV+Kpl
cjO9qMa+GmRhHpdMv4/BrJ/yyZb7Al/at1T1/TMX8VxB5VjbH+D/kvcWyFMQDS6CYikT9l9gSVba
l/pYmgWh50RktMfUDQovsm1IQRoB/RDZYnqTNE98yHX5g3lZfwhWCNuWyLKv1RwQdOOYN9bEPRVt
r06QQ9azisuRusbrdt4MrGPTymyBU7cMdsvvMynegyzQYPVbPfDdKqPb2Z1TnhfLY6EFWop/6Mzh
3FnxQF3mGofcNdP9rOPyhTM0fSv6jBXqhCPbDpe5aRhju7m1MWKXyIyUoUQXZjx7R40O+m4QwdpB
vDEdVuLWGO/Sm3QEcBvzvKmjHy1Xx2IwF8zTryy3hxZtB+EU3D/dSsZJWj9kEg+J0It3SdqGXQ9R
SiHtXXWneiO/2AbJdMxkJ2EQSr94S+g2KnmNvZW5azAk4ofGicAaVrly75UtfwoTw2FV7O83oydQ
Jvg1sJPKDR6TeEmjiaGUSln9pMu4ka17ZRI+ftWeUxzNFtT/lON6xQ46LHtRp/N5XXuJagKC5reg
yeN3o6JjO8UajMM2qD3rp55QKABDnIanETZavB2XwvrogzKuowT8H7FitWaiatpRoCbrs6CXGqNx
6ZenjoQV/yCcYmLF5AfNIbMXCtLKmUXIeCNlLhFbzqsD/OaszVT8GKQ2IToJHtoINFl5UEntf889
07vDibOYR9A4wcs6FlCIltyLK+ZVeEA2wI+anZ/W1Se2peBbm4kfhjmpjVStc2cNcvnDVe2ieSas
pgYrF9fvhIF0Fimmt1qrxuH00XusxcPFy9XRj5t+UxnjULHgdoNLas9AJ/v20eqYpYc6431uTVdH
SHwFGWBqRWrvyXAdh24zC7IZRRoM23Xq9aloLO/E9NeLVifNfT4Hke+bYeBEA2boRSyBzD2wy+zJ
Hg1332RmMW+MoI/FVnit+WEXKXGhgsN0tE0kClBysnyPArQ8Joujr8SaAdJCGtI/scoQfLBelb+R
hEIYl7ZYpXGYxcMxTuaa/D9jUt9HkHLtQRhsUrUZJBRA5tLdCzibX43r0eJ3Vj4+LJrZbF6saRA2
Rh60YcAMYGf4qf4up2X6gwDR6WMRtXXndAjZMHB2PvN9F1QfGSiOvk+XIC42vq0o69IpPqa2MSFC
MNVzUnRq4xfBdMa7l0VVWeiNrL2ToNbfjHVdPgaYVDdYaeNjXnBsNpbQ+9msXpLaHfZdOxE1h/R8
pG/PWg+dA6mlNA5yq815JSN3nCvoaVJvGmeomLOnox2WZLBAeLTKcTgLkkpqvOPtpLI3dINlfVg8
wRzw3V8KWdhh2jpW378jferye9jVRggRUd5b+RTv0J60T7IqzSfSrpIHjsV57/nFeiTY7tUVdf2k
aRifBquLyVcEjfg6tbJ+d4zWp1Hx6umULknx6sN05pCaeK38TJEQOczVA/JnvesSljN9VogruYVd
1IwrCTBum3Bsc9tFc7Vk18EOhp32PZ1vnK6qrnlg8uPKwmD+XZLG2WG/5VUPbBFabScv2uLHX+fe
vmPcEbMgWPv4WYBjpx0sppdkMHxN3l+c/uGsxnJfG8lAMWro5rKYS3wNGqWegWB6jN1L8wvm4wpm
rnX3c6+H3Rzr9Tu7/rmJYKuthwSA2y4Xix3OVo/2qEf8AM+L82jIrPVs96t3RDdEyzLlD7oc2tDV
tnMfg34SHLJF/IT+5tjI3CaNsEkakk2Fx7s2sOdevWx/+zxfgPsx3qMJPHBceCCbWuO+gAnpbG17
ch/LgAC9uBfZIZsNOrlWzywKXLNfTsvqLY92gfw/WILgOFpD99rGTfUwWnCVeZ/kEhLQ3bKs8gLo
X1MyomUFdr3pGUBO0eAE+nFyzIq0mNwJIj/wrC0AWvPAPlawJ0KntnrBfOy4GLNQ2dO1Dvwvs8mC
L6tz7IaOw9VweMv0uznFxbFrDIUZMjX8MBs5anj8Ui5pQZsUQVfwdtmYFw9xQAmiPA9hS29JwjYz
/95eat48LI1oTkFcQuWaJnfdtq1tN8/1EryDzEk4sVM/VWfdwWqFzUZYZjSi6vnISNZ5Jqag0w8S
vEmH3CjQRrjCz3KjKre0eYE4m3GPBVZtInZBsKQiLn4++cZel+cWYdwMRmnZOSkKFRVILwJqJeMI
bcfjaoFIOwPU6io2Tkb67irHzT6xItXE39pAJLftxE5MAoCb9SrvLDJvxn7fwNkyhxOPrM0KhHGI
ZEaq4/WDsnd+Kwqj/srHGelSP3gvCKvVSevsRdce9jtHV0dPdyryhrGKwBg/yXL94ADENZd+5r38
QAw5/HAalpOhaF1aPnf48AIjP2ACKB+0VW4nURkXfjk2Ew5VkF/b61/O6o43XLG+RU5rx8/CbMjK
A4jt/hGkabFEwyBSdH0teooXKBQtkcg2M3gUJwxZmwl26H+7pz8TB/9N92QFLgbXf908/b+2AKT8
2f198/Tn1/xf70RenoS7EuDPuQ0I/3eoiHNKUnNLbDtsoDC3oFf+a6go/wYgFNwZimp8TSjv/q+J
wlRlIfZF68sbwjDwP5oqslj/x6kiNBj+B3XCwx/h8pPeRNN/pzOHumszFBjEETGZT81tAMet+3G/
sr46lYl2D6Rn5UvUTNPy020674IsUTOQs6zpqWkGE8+fMj6JtDUpm0QA5jF2XiRjiYR5mqw3SSe8
K4VT97TkY/YCbbTcFzAoj1Uire+Nin1Cabz8BBqb7WWnf8AXyg9k0KD9gd8yUyIgIP4yFbnoWZxI
OE1zYT9zhhSngGLqHHtOuR+cLgSvV981rg1vvIyrjZFX6ckau+lYZxXhwZUh2dYgnDtVelAoWUr0
ksov96r0g8uCAJn1uZztR/iTwRVOOOLIJTPvcI8TBz82jt5hYy33YEGTd4u+4GoZxYM1y+EutglR
NxfQMRKUb60FjaaplfMLrzVpudVC6h47Tjtqq7Z/CKD3ojfxnC2+/JlqlTnT3i1N9XNiwrlzWsp/
nbWMLYem+KZFLpEQl1RyqprzQ9D1/WYSU7UxvcUCpWEPb42fxff9kE6PWCHWL3Cky3vdDs4jervl
4Cx5e5Uo3R5p79EF2Xa20zH5uuYs9Y/qJouDHc+ROrJF9ayCf0Yy00YUdUnHOdmhLsTwk21nmLUu
grVAnTnpj+KGE+VgMsPCbOpN58Z3VaGqo+Ebx7LwEKPrhgQ9Yg32Wo8ImgPEOl3eZ+deimkvTXT/
xG1XD2DVVmaDRs4OegHBwFoxH84KxvhrsmTBh6eRdDJJVmzP5PSsxkm/BLHI7hBymndTZ4IrH1on
e+MK7i75YJbPohFqX2GNDzhBG/PgzqVHck/pOI/r4mV3SSLIa/a8EiWO8sE/ZBg7mCFrH4ulM17k
lJkPQcuzAozhdsWsovwa5lldYynLwzIPzhklcrmvlMw+Bt/L3rVKLWisyn2swGMf5nSZr6YxOmcq
hObQDk1y34ume8mRyVBX4S2rjOGo6pgCM6hd/2prZX/UWInudCIKbDylOuR5KSrS4LsSKEHq3pdq
OtvpJHgcdXswzH6L+bz/hBhHuu0yF9bWVrH3qZ3pD1fPFVU7sowKxvixgf++A+fibxavtl8dUXzh
C0LtYCTC/vD8+qUZHfjrKJP3q1mbj00q2ejOaWycXAPsH6N037ym1C1WNBlSf3Zxmz94SaFBYjtO
8MW6MN3XI1+UrFn5zc/MilQq0hlMaGLnPOGXiBye4ftQyg0o6QoVSNf/cHyyNcO+sF6g9h6Z/8lT
M+k9BEY4rtJD5ZOVefEIzqt8cuPyIBc0WjJe66MoMK11aigYDQTOR99gfvLcKt4txBJv2LGiuqzn
/El15HCts24ip4C+sN4cfVBUi3cPvfI3D0jHI+LSJuIX6pnQ7At7g/NaPRjtvJtKqc+6HRGaBsHO
7fNqH3eTeQc+stzr8nGM4/HduEHECulYj7mZOIea4AJS3ies0LU5tl9Ov/CTEAkwmbO3b6xp3iJe
G9BHsDh67z0A+Ti11jILJ29p4MQuyf3aNcUeYToX+sIaMWrHWVL9gXQK6by3LMlx76+0dv4mCMZv
5B2LPCwLRH4lmwWOOeAZYaBa88zuQN0tOAi2lmW859Sifog4zNnSqxP3RxMcIcGTUWlkb4U/mcxY
OhOrKwoWOy+aH6VMwYjjx3l0K18eu85lVrPCKn3MemTnnldH8Fq7T5l78z5nUfZgdrIi46lyzOtt
i8oWu1qhX/ulpGZqgteAW+O6ijR9oz/NLtU6fofAJg/ciCuddjdeu0QQOw3u4NLlso565JqXahDt
Q5/H+i6Hyf1qxFl5ZbOiaNi6ZGchcdisdqq2bqedNyhD9kGiSNu2sd/s0plh1eolw93kBupTOPp2
uQyreIeckLG9t8YyJHsyAK4cJGjR0gJuezJFhhWnD5YFJmMKWIiMiZ6fzYGPvk7ddYNYQ2272fbP
vmCPBSimSe+Ju5p40FhnBMhyqNLMAUFl4gz7Opv7I3kC6ls5xPvMUvkW9Pv6UIwIrdRIUgRVr4nc
bzBqEbrJvJO6Ga/WmNinACbQ90nbxYbRGcJ3UsruMl7xM42fOoAYhWZf6Db4KKTMNlU9me9lTHou
JxMOjd7eLAx3H9YhN76U8MyT6n1jR+ZGd0/MWnl0hREjs0g69M2T/w2+ZbyzTG0+p2Nm8td5MTOQ
xZDU3l57Zbrxo+7W5ctcB45/yDYraRWzwFzkIHVHGe+g2DfOCA5tJrJ1mzFRAOR8q0tJvzHRMFB1
P952L9z9eZ68DEj3QRsPulyiGnHRo0Y0fGhSXulwVh6F8EonjlYy9vWv4FYpj7eaWcyTcclsBP9+
TUs11sWhp8R2b7U2Zy1lt3+rwAtKcfJhPk1Kc+TjHz6lem2tbFbWCQHdrY5vbxU9GQQv9q3GV6nn
vYyqsF8LuBNfBBXPb4wLP/w/+wNmhGwJT+rP3kHR69BJsI+89RWUWjVdxvq75cgIUhHbGy3uMtuu
t0EIPvgPuteLfO9k/GvIFsdn4zXxiyP80iZMYsR9zoh2PyxUPfsK6c8dw2ej+VAcoNRet+SROS52
mpSR6uQbRbvpyPzZUOQVZytZ6hOzfu8DDYb+DvklyR9iAEdnL3Wt9mVI1zTel2tRsl6dOywi6Kl7
N//pp3NnfHMBjLtkCo84HhojKxqIy5mDdtVc9sCi690ouzeyUiemzEm5Mdmchn0i3lCATgeJDjNa
qn6gga/nXVB6lJNliihTXAZoA6T8Go0bFgm3jOGRW00t8q1e03KbQg84cYMYz6mRJReCcC2GfdZy
ZROory2/zdPas+tKs+lTFMFyagNphJ0whr1Vz7f++VZuOSuyGexp7TnLED/tQEcvm7GJe1I7yAAj
SBHcvHRNYm3EY7Wics21kRxXQTrDEMfxqa3s7NSbyUVaJcJUz1IXUnr7zZJ4+vvgSPD2s7vsMz1m
O2Jogq2RmKwms7LZTrFQIFbSgosMeH1E9pR/GFhMIwy1q71rxuYvMZDEEiny22ZkTL5j/ZSMZfy3
7k8J9fCnoDrW4oZ/gqp5E1v/bk3+uwL7d00cDn52Q/+6izuWZVY32T92cX9+0V9tnPe3G6TvTx3H
LXKd7/fXFsyiV7tFvmO+DHiJfRrGv3Zh9u82DkEo3mG+n2CD9X+7MAYUuPBpAH+3hfZ/Ig6B5fmP
bRwZ6bbnBFjqWdOxKbuhNv6+jctkBhbI6tLTTGo6hYTiVXPzRZ6V9oyO0hAVgBjy4FkVmoKtJy8r
jszRd2catL7RhxboWhz5TSlP6+qJeFviP+alM80ZqbKoxJ6OZTEeCxIb0HwK6eKXITiI16mUWNvt
bryUE3E1YUlrYYNVMlfmw80gGZxJj8p/atfjaq29YN3eMGYmM7FlcprPaUTuGCpDkI9jKHxD/0DL
4H35zBY3vY/0P1lNSEjpDVDOZA58MQ3KJOxLANB004G+vMMP6bGmG5660jZ2HrDIJFwQx5OjAuDn
WUGNeJzhGV9bJGBPVQ7yfMuaDU1L7s+JG9aumWBEzdVT6apxz7cHYLg2CzY6GZxs1WZnK/X3c2az
FEmbrNm5tYt1oEsLPszJLqzN7MZ6J3rPfisDproZmYnPlj1LNIriezIu6t5tlmBTr47zMNg5krBm
EZvUsh9SuXYbt5YYpBfyvGfguQ8OvpurU09Prgnxnmz7tgzV7KVfkvt+L9gwsrmvOfGrqtxkXD1P
Y+t4fOzQi++6oRNXiO8OP9uwDhdz2mq7aa6xaqtf+SiD3ViIZde5mR8lOOqebBl8uTHx8hYL/0ga
DJfgIDGkdde3QBhWCFqqjlTpnsYJS59HAvhz3nbOkzMH85nR5fRALpV+hKbwI7eBWLuNZBeQzGfC
VJeNe8NnSDsWYSsptsdmrp7LtkBcVJTdlSVYGvV8IlEcFHii8v5qzMUQoSTvvhVk74Wis+frAqdp
o2bX3loAKzcGBPuNOcbJCwliMMZKX9tDlNdNwLfNc7oOpayzw7jytJgDhMh5uk8GUT4y40Nrvcwx
GvrMVRhjxQg9IM7jUCXrehWGA35PjQbgt7nZr/hxnkybJ9qTQ3+xCyHO5P8wfHPEzuKxv2tmZ/0Y
W4IXt0Z/cxfkqQWksyh16Dij2DDGm/ZDHic7Qw9n6QTdCQ/v3TjiYmX+WQPXw8FGdMVsHJyaNBDG
hGrEDYOyZCAIPkJd/GpgwwI4xfh+MXexdxbsUUOw0e8L8WwPqcNiEymutSD/DUrxxDi13Na++uoY
4h6rvHldnLQOSYP8Xnlglm5c5yWqMvvsCgxl9e03tfzElqPCxurVLRj4TQzBzGotiA9qGo27yQ+C
Le7HhAw08cFh2N2zbpl3Rtc2UVkk7nHRnXgV5GlFMz7GTRW3Jvgym9fKOHkxouo4sz8oJfV2YPOz
Lz1tH/OOuz279BUCZN2v4VJnV2Q2WUhib2i0otow86BxZHmyK6Z8xqSSd08gEcpH5bvJccz5mBdW
38eAIu2RRKl1X/d0cArXM5aIWd6JdjwtrTMdW4Ro1M9WNz1Oon8drMU4GIR7XSdhpTUvWMOO23yu
cwMg80ZbrZ0j4p2cCtmVe61QyTa6cbdSrgFytoX8c7suyM7M4gfKuOzeTbvPWihGaQSehGtmfSJw
dm8TdrP/3jH62eORVptWlfaZNVC1M22XR9pMSkbk2ItLEjofFo7dMGWtG5akgaF2rZfv60AZTKcZ
R+PAM5gt8/KdfA8mbFVm6mfdzs+1yZAooQq+b6pUgBsMykE9JAh4jo6a0m6vmEKqsHRHVK1r3hxV
MZJRldV9uWlUHTxhGv4FeGWKEqTMuyn1S1RBvkVVbkictkzy4ORFIquGGYfE4LKVV5lkBUSw8c63
+wo5BEY3Dnc1lfPwihK2swQxSnV/qgg3G7hbDP1VGEDNMdQwpSF+gl7mnn60GcIcy/OhGPx8vcyi
lY8zF/YzOlleERTpfnBs8XO8d1bWntKbhxotseP+6Hn6s8i6iUAiy4g9EU5SeU+6xDq/iS2zPTW2
6Z/0Ehu7Psjr5BDrHhmCk9yn5VA++wZQ07Ad2emkBXlIUbBO6YfyRbcdbVEdrCxJP/2bxDOs/DbH
7rX04pI4LUIxT6jbFnaCUDcqn/fDGUfAovPKNIGj/VcNDmAK4VZNd/3YdQ/LbGtzQ1HKRHOFsJqE
uTs4jNnmdXgzWWJ+6tbMPriTExYs1XDXOWt1H49u8MskqGPdpGXsPMF1Ht/IdF6vlekdPVgffxA1
I3+6ZJzR0qaOHtBqjeU2CUSGA248Vpy2UUf9sGyWEilACJwga0NCQ/3XYVzcSym78qeRk5h7qgYb
8KtU2fRIISpfuUeCrZrXZDcs/5+9N2luG8nCtf9Kx93DgURijLj3W5AESVEiLcmyLHuDkGQL8zzj
139P0na1rKoud++rFg6VLYkkkJk457zTbGgobUhPWotU4HhIUzc9p3g3mhxGYXDvpcVwPTm1zqqc
I+06Tmx8hg1s1j8nc5CeMHclSHBgRgdrw8uXCzzP069mV6e31Vh8yOAPGmton8FFKtJ8I9KIzQp5
v36/1LJGIn/GfNHpgv/OmIodKwUKWwoeZvBUf8GsZtjiNgJ6rKEx8wjmAlRuFLwMvwOkWSrQ2VTw
84z9f7CSCpTuHYVPOwqq9s6o9awA7OqMZSdnXNtTEDfNA2i3q4Dv5IyBaxNwuJoAXrDnwMj7M14+
K+icd+75eELon4Mzsl6cUXahAPdeQe+BAuFrBccXZ2S+ViA9xzN4vSUAkpTjwRVDrvogos6GVsDk
aFZgP5EPNlZ/EAAmRQWoFSkA3LLzraiAKSDa6gZ4sWMSC40A030YBY4iF0yKZtCeGQfwhZvP6MQU
5/PMSUAhXT6ks1EVfmd6sBYguC/fbAqoI9Fn2OAa9hOZBd5HRxEeSkV9kAzzEWueGRHzmR2BjosT
8cyZiBV9wgNC/TJYTbbHYAl2hRFaSowoZ/nkjPA+O0XE8M6cDPfMz2DAxkilNMo9nix8mS596hLx
Gs23JE/Ww3oyIvE4QBtcV4VVfUEx3t1YOMcU62Qy9M/9mSsSKtpIdWaQEFchvnpnXgl6djgmrqKb
xIp4Mp85KFLRUXpFTBnOHJWlga6SK+JKEqbXzDUY6BbOiTxirGgguAwwXUYXL2QCnj0coT391CtC
DIYXCL4YKhnvbUWYcUk239U2hcUK5ZT55J25Naai2UCDhXGTnNk34szEEW2s77BCDE9th2PAaIBE
GwlD+MW0us1SyQxxgw6xSIt8UL78W3Qm/ZAJ4nzDnrYhiVOxgqDRNh9D2KxPtlkGmJ8r/hB3Ey5R
pWhFMEpSBquKa4SXA1OmuAkTE8NZM/la6R5YY6P+qLQo42iR47EM6uhTFpDOGCs2k654TY1iODVn
spNIbfcybXJ4rgC1EeFNB/dMjSoUS8o9E6ZIM0ofWtcRRJsGI26nUWx12Gei8PSBV5fLVBPVYbRN
FGiKmmUoklag6Fp493b7vKoJnvJkcVFnhCGSRvSpOpO8hOJ7hbJ2ruGCa9+EYoL90yUXXdzNv+mS
HVspCv5zk7wuKTgev5avoc7vP/OHfsJAP0EbzJDluxXkHz2yUNIKsEUbe8bvTfK/e2QBnolhIZ63
OHP/qp+w3+FnZngumeH0tPyS/6VHftsi48SE552HUZXLy5neW6NXVXsRMb1ol1Cha4LOYaS7c//Q
DJ5ZNIdEZyPXKENdfOF3gAfs4SvpZfnohzmzXwcHSRq2KjyYXuCm8lhohtRhb2gdfPUED/msidtd
nybdFOxSN7bi+MoKx4EhJKdZgi09zBVeC9doAKwFhUBPLRVdceRbFLCrkTaGYpIiRBuYDOUHSbJI
v2Y/Ev+1qsEZ4GcVDZkrJfu9mj9wUKtAEdcMR+eGAV4fee/juIOg75k4GudorPO11ReqlOzJ8ZpX
9O9BSkRoWWM28s+u+a92DRj83+8avIqfu/i5737ZOOcf+7FxHPFOSYeUvxwyOYNS7I+N48h3hBY5
OKQ6DJEYPCEK+vdwSSehzECP8ZMI8HO4ZOrvmEXZlistcH3GS/+TuyqW4W+HSw7TV0PHCVM4jJje
WuBZxswUi8jUfVmEgjD6mJktzJy1BW1tttMnVwc6r8ql8zE29dYpld9qmub04AoE6nrn3rkDGnFC
edMjtl1XAwU2YhobyBPz0EzXGOwnyCbm3kSoALa1NWWub5jES3ZE7UH20QD1bfxM4aPfVGyFDUof
kknxqPBF7UyrUPCaDGSHdUJtvdbBLjZJ2j4oy8We9OVVDQt5Dff2ycY+ABUv354KZu0IkZqLamge
BLQlopQGuUoIVPLzwLknpeQ2keJpaHh526oesjJ+YTyL4WnpxGvHNm6YCrVk9/F57GrqfL2pH2yR
eKuO6QwaDD5eEZIOMNECbWgzLprGvQgLQveClkszeIEfdjlJJXiAEAg0wXfmUp51x3rNL82YsQHE
hx/5CFwG3b3IofNvgobvGjDQYQaHDDcKqNp7wjj3idngd5sxnLcpQtaMeW6oWhCA85MUrnC+IL4D
TiiQduYSVPhi+lYnlpuwhAnJyMzPWl4yI8yN0UDN2x+l4fc1ymdZ2ekGf+aPyLPBM5WAkkn/y1zU
JUbojbG2Ahjr0JPQtlDUPAcZg6Ou8e4wAO58JhskR+v0UATecoM71yVql4KuSbz2DpZselV7IO0M
v5ZttejLfnS5erLlRUfLuXCFdndeJDFWSeRSY2dUOawDMcsbTBnQ1+ve3QjLAj8P/sBS7maIeVNh
kpoXoNCc9wk1dBnm08HxOgMpjVpFHd+L0OAUtwI9StkavjNg3I+L1MRlYmGhdavWuWWdWM8vMIJB
ttD8rdD+PknT4d4v/F8SQLsehFZsxs5tUdVh6ZPnakIjANwNB4WzXiNqb9rm4Xy/c1p17EBZVt3I
5yXD21uRwsGtr3le9LabHXQRvrDJWdU8DfDhYHW6DkulVHsBhc/8ER9XubLd5EkK3gg7D6CuSuFr
crmQiN3NC3d+rNknjoMyecSGHssRdofntA9Oyi+0He6w27OYXHbj+WIUFZti1PjWKs2f8nI0/EB3
6gOjI8tnfkLgaYrkfIaocJu3SbU20BGuxgaNrSSLdwtx0/AbUnM3eWNySXUUwmMYtZduq00odLFM
ppuL1wx7DD912JTQEK7iMcEFpkfHjTFkTF4L5mOwefUNzEd94w6gROBdma+zT/RsiG+GiLGN2l6S
3PO9LvCxm0zkfT2CulXZwzTRyVxV1Oj0EKLdhdErU6bNahumWPKf7y2O/Crws7iyh0AdISyBoqo9
xtFcm/MqXxzcEQi99XZA0qmPM423RXeXbUaN5XxeAGqFs8VvYnMpdnLmGPMG9rcJGW9/vs1dP6oM
epYRvKXOH3CUeKxUSX22Q0T8DwTZC20feJLTy4qfAAW5BSJ9gVtBqI9k9+gauzmX2DijlEeQ3fTF
lRPr08marJ07Jk/krlOKOGNxFaRG6gO+4aq+6No+tNinJZq8q9mJ8LCwWWRFLosrDQMU+JUcX06S
Q3LjcBB0afFk7gh4RJvNjPwqEJg6m620107HML1prHZVGy32RjbBTY7S109xru/10pK+loUciqHg
cBu5dedk6qA3biKkQES4FvOu6jhMCPId1haSr3Uw8BZGyMsrtki5p2LhDyeT388mw5uY9apNO8T2
AE9Fu+N3RzhGsCQay7wx5mTe2QFMVgvuB48dBggz1FskalBH0zLTN4qtejXZ5kS3hsuSaXFpZnbA
+VrbHvZrKZPH6x4fhK1ZoI80pw5HCNfiCFTgPY5fwbUBVLwhFDPbuUH9Ujv8dY58iE2PM0bMeWJq
WYy7YPNMLpFFPAQqxbJ27nOs2vxUi661sT85Kr5Hjm54mOMpTBCYtpnYIHTTfWLY0JoXk2b3pPfB
brayfFhBETUBD1zRwpJdmuTJYEa2gTTgWaRFG3dWiDkewXJVcpzDtj/Eo84tlHrAaCMIhdn7iY40
D7Ciu45Ck9DKFcAmNC8CjpG9zmnHBG72mhbCf1SJtU0/daiC/lHryvJri47DjHUmc6Gc0he3ltqC
4lhDrETk0zTuu6Ipt16eTvjFNBqWSxV+hps8MQdtE/Io2hjCDY7EeS/aNgPIaE+pEbkOkkQTii5B
7Z32MIco/aM+HLKrIPIkYb5NJux1Pad1fLIG25j90CgC7bboKR8ix757VYr9hYm5Eoi9Ni11HZXe
5UrbdrAO8N5GH2WeZixm2fR7J55BuJfoJU55uMjCveubUrKs2HVm/NscVuVt/afXxVxMN2yX5Ev9
jWerhxciselVv8cwQh127EEZp1+LkdCDqUpf/v5TwhX986s5UE0NU3ioyN+82jKGmslcrd9nMwtE
VQLYnGh+CKlr808T8N80AS5o/at7snnsHv/1nV58eszJZth8yx7Hx+bb6w7g+8/87AAsOmcPn0YX
Yx2c+FSZ/wNedhBZknBoART/bI9/koS9dyxdugMPmii6u9dKS/cdftX4PNn4159lmP9L5yw8nA9+
WUIqvxLSsakLBXLDquTfX5GE04SaSCxevZ/tOXpA5F4ouZNEDD8tEOcmp8m7bVXP1xlU/XENcEsF
7njKt5bImyFGf4SHlHgI8P7FaKZIbYzy9PHb1NnYzqmCC0QnpersrgtXQ0DRZ19MNCwbiQx6W4Ro
2meph34zeXTcXMR4H1CTId7kgTfBkjtliQVFxO2pG6HkB6aKFm0OttBTSgIe7hoGSzBIGjA5z24u
p1ohkjkAqTZZyW7kzRkEN9nVhbMgBCq1prstvNA8QDNGElZrD3GW8/ypCxt53VTsYLSEfqUalMpt
K9QuHBL51N4wvf9qaSkfMuCTisi4Ya+nW89LwRwtqa0Sqv+dHqYvAIjxuNIxUtoUOq2TVSGYN+qu
2tYLr46M6MaWE1ZDTncEoJcrZvM3sXDvgqE/isADEJ+KD0wSxNXEQwDyX4EznDuqP/Krcs6vTLd6
IDLZWC+imw7UT18osC8Up2yliLD4yH6pLWo/pyw/4P+3fE4zyqOKgL0NwYM9s0eKOoK/1yzBu0kG
fuAg1U8DW70FEGKLX42Ljdw5i6O/l6kGyMI8+EPYetl9STN3L8CxdufKv8ZleWtDU4Nk2zE01POX
dqmuddtc9oGpHTrSvB9LE45ShbiKaWFg4OJXIZCgDLzORmsfuIu7ci3wgJnI+Qczde/sNi535dTE
O9HO8HaC1PERw4i9h02Yj9vDx2yptBp66viRkTGjmxwCOyVKm98YXtA/azrJPmswC3nTGZk85XEN
djsaEW6QRMQufhYVH6QmJp9wzwY/oFLCMOgQwaPq20iEKOuAnbNK4iEGn9GYE+dT7e1I/YCiFlZC
UCDMJTmTFm7Y7mCXJ0NM/SUBoV2/HRvN+ujgSnhp5rb+xeSDb9oZPyYABYOhMtey3Aq3CcAu0CNe
jjM+9BclHEtcMpJuxmPJWgjCACYMXmbPGY/4l5FFFhLnTgUIAwF/J+xnUdd8+Oeg/28OegAWJZD4
z0PS26j8+u1fF232WHx9fdr/+MGfx714JxinCCauP9g//z7uhQrGMXX04m909QxXDXxfXKwjoP9w
7v/BJTL5daalozvhGWD9Lyf999Ljl9IENFMyxeU9cNDDGPn1pK9xDWSwj3qWdEDmK3NUYopmdLEf
ul7uE0r6MObDcETxF0PXZCISWtqFPjono+yxeYZXB2jXmvmNN+TFddbr91ZAGjCDBsKfSxO7p6XX
5EUjyGMzZ83Z4lrCud06J5z5UnwbxXUyjc2jJ/OjPWZHqY27oKuCTddYSMJJdGMm0tPoNvELxk/x
Kec6rmunKlaEiNd0LSQNQxJBIK8vl6WnX9vI4PC5Gh/LaZzw1G782YQA3nTxSwuxfJNLotSc0j05
ctqNsVOt0QG/gGYeydO4hRCJdivuwfrTYz8v12YyX+oh39UkGuz4+HGuOMHLenm2uvSQDeIZd5eH
em4ZwwQZgo9IfgJL3ceNa6/ApjyfsEFM5DX3BMj4kA7Zo6MvYquH463epEd1Bbqcng0CyUtSFfjG
h12ylRnqEokVDi6NWJEM43AXyvHWLSakJYYNHJt5z+j7vJ2IVADxfJn2RnmxwHxba2PLhcH4DpfA
gxH1jKPSCSPx+XasYEBLOuQpe2zq5JE+8eRAJrFXpFv6Jh9oxGS07OZrM+NezbLb1h6O8pqZHhYI
jSuVP49jGf2MUXKhjKih+bDQEzJOjHwI1XgKaUOJ82VMLU/qLhrq/BHmBU8+NfTuRlzZ1GthZjr7
2BtiAqJfdwaEGVjnwg3h6A76ZeWgwR7S6EUyC/ctER/TdLo0uDl7t/TI8Y35hCja75eA5OyMmLtN
7Eltk7a8EMZEySbyzOWqsZJDOS/3jVkHcJumO6ZEm2kuxnURYYYZlKRkDaPnZ8b07JbLJS4t8TqJ
mviU1iQATvoTfdB7b4zplkah7G/2C9ymfT0NdwtKqTiuOhaq3OM7Qbin7mbrFKtgDPuWS7ucI2gs
3E9PCnlgBOP500Jmcm0wxala/Z7Z6rMnx26VT2jDuzA7CGe4q5seT/zsJddhj+o2cG6fT3cyENEq
jSkWMkNx6aBsraGpMyRV110UNuZG5kNZFwmsbutUWaaz7dTP8TmpG8CRR2k/xE4z7+2J5cgj7lQZ
WvUlCTSGrAlZiI0WDDfSZtllUxjQWJtYyfOI2tfOPBwgwgwXbW67F9OgIYaN5gzf/ypHzVvNZBRk
A86Idbs2tEw+d6L9Mg+NfSVc7P9ZNWVcm5uGCVSy8ZjBbJiyjI8Bnm4avklGZu8Ssy7uiXu+z793
xSbDihX8XOxmghPi6S/I2TGJmzJIJDYxnjJGMj83fm1OPMAbwj8SJhkNwOQ5NdepTxl9eKEa8lEz
70vVore9ZflDbz1Oxdw8FwX0YegDkY/iY+U6MxPtxbOBI/N+Y8wYvYoOLk/IgIhprfFcipJ8iTrH
xWHQ18jGxJZoO+4bmnQCjVmGNQSUzcRQ/T3kxH4H/SPAOsN5UIPv3qhH/KSbF21sLk37dzn3f2ow
AdlAGGzgAbAzWopfT3GoF3A9x7Tc042nK9nX3TpwpxOCgeMSCPs79vPfxleZaF0McDodVE2nq33b
HWC91xc2qqI9qeMUswJzzUxFokoO9FcP0+vvz6F/EYxxXUI8av/f//lTw06TLi1QYwMUAn36mz5k
dJxJJgGjIqNLHz3lf6mO40SMqNLaVVte8JW+/fvXpPX6pffh05EMyQMc8i8htW+DqkJZeMz4idye
OytCXTLcQVXK1pjj7keNiAH1ebNsuWxaTre/f2n5tu86vzZAju44yKr+FKZapaQ4JGgb9m3eyE1S
5i6ENFLROS4ukzJJ97o3PY/Mc+DGDcMhGVr2rVfgAhMRWo/dVFgsl8xXeOpKa+95RIkkqIXpEi5H
m+PbtQ0GZUQr1GVyLOxmm1vD7ZSHeEVHjLwm89S7BHHgW+LtsNGpPocWrFfT5Xj4+0/6pxkFF9kk
G9YStGSWYby5sUYWe3lpmMU+MtqtWerXurdc5wvt2m9e56+uqCmksiwiaBPnoF93hjfSgvCPrFVo
kheYq1/PIjZ9HGCBOmwv2bRueuxCkd9gFHzN0DO/IeCPKdASvtQD57IqVRJapxXc3ktmKIj3xv4O
r9+TbIYdljYqaTDO12EY2TvsMqeHEPxsh2Fa5U8xKZ693rS3RTrdTw2P/d6IzUMXu1Ac7a68NIv4
JYhJpocZe/byKXeTlrwE5XLvkv2ydApLquQ+mq19FBUAATn8WFlNZJFjWGf0yzVyMoVR8Ls9V/vS
WMjFHUGN9fcX8i9OGKbbym0AXN0g8OjX60jiU1nDlC32yyjO5cTEyYa/u73SRrn/+9eiwv7TDmSU
YXK38Juy3qY7NsYcOxlxEHsrHfAhig95+bsD8wz+/1r3ks8mDNNUf6JGUe/h1YQjjuq0y3S92Jfe
wAA5noy1GSzP6qSPF+KjO2xQU8PcMzI8jYEX+U6RHbQp+IRY+cnFZWCFM2IDCSCRe7Jqech6nE7V
nGM0EL4s9ih9zPHSfSbtBeKfxG1bX9qrLLb9wa0+uh1/zUgdVe0cz+vMom4B3MfT3yM02GjIE8YI
wtj1U4X1tBG/WAVLkGjXI17uh9QK57VrJxSoYqT6FSAKRQT8p3e3ZWFEvimX30TUK5/MtzflR3ov
5zBmmcavFwwz1A5HXSz6RUajMEQ5NsIdUkxDS/nMuKMqsXCyyWb3lFs2E/cWNvAi8vddwloO0sLH
IpoeOFAiA1uUmz7SH8akkhtGpssqHexT0OOT2AfWKfKMZAOdTFtXRGptnGS+143xeWnVdCT+MEmq
Q1yawACBmNJIv58pxFZVEFU7meG8UY23oWVDMm1Yn2bFwdfaA5FRGr6/OTb+O8Na7hFLDr+JjvuL
TcIzQ/0nJEJ+NaB7vahGTCazbhwKoMxiQ4kzrZyRt2NimhhU4W/uCCZrf74lLk9hjjUB6P+nPVmb
EOwMwtz3jdEW2H21RDoGySHgSeUJ7s9SsiQXbAtXg5LlJQkVYJgd7ZQCkCGZvSoLryIaaKh9z15y
dLdECxez+9Sm4kob3PeZh0VM5FHtT0UpAYTbZ7Dc2ymbL3PM0ZmzLJehTB9JUaBKBY1JFv1Y98Q3
TeB8lKv+0CXuFvHJ6dxe4jQkN7HFNxIqcbA15kkJXPMtKAS57ksXXUzudH1ughDyloCraXko+vEu
7mgk3TTs8YCh1bOW8a7pQn01w3wGRbsDAr7GSxlRGdWacPpNXKTzRn2hwSwjPFAtyKof8AYD/1Db
qJ0sPKnHO/IBaCAsvAZcpArrrKZa0oPkONW4KzoV383Q5qFOLLYYNKIrz5qeGyXI77nASRYf4Rbn
a7ISeGRk5kMSDbcjIAQpLxZa+pzIn+Sw5HWNayYbuOuyA03xDqo8yBsJaOjjl3t77I6ZsL5E7Vgc
UmGdhnaAiNnMqCTGHeEiuNLUTYno1DplnflgNPHvnsf2X2xvah2Iokx+WVFvvfWyWSYYQ1j5vnXm
56Idblud5x6SBdo7trWqv86tdtl5Amo1ld55zxdRt53HdlzVCT9Wk6aUdgXeXqnHmBeByibrwhrT
Nrfwvamf90iWSEmJSfTAwjr26wLeAPlc3hHINUJAwnOxwxXqquAsXy+OPBkaZwyzr/tBUm7pjQTE
1uN+PYUd82OXyhopg8HzMJIlNySkzHaS/q4bOEEbQ9lW0ZJ6fXaESX9rko6yQ/E0+cQGSNzAl0vs
3O+SIGeYK7RFMb6ebeaU26bqbh26g30a26eBhwhNZn8n7elaVfOd8/P5+o9W7zcsRE5KSon/PGD7
mXD9r/LlXzAS+/wpfnw9aPv+8z/nbBAISZ/GaNL9zqtilf+EVZx3Qqj6RZcM4RSy8gexSrrQDklS
pSQVpMUy8vtj0sY/wfWXpF26uMMaBv/0//3fX/qk9s3/v+5mzuf/66ID4ovFrI1gWsymbak++evn
wywKmPTzpO9T3Kzy8CULtfcTdu2J626Ksdij7ji0aEwZVT+IFOxAtr+puxVZ7ZfHuHoL4J8Cgpdn
0sW9qYdLy7Yr11WRc5jqnQLzYfaqq3ZIfeQpYYrjud7V5IgwEsMiKjhWhDTsHAp1yMqfTdg7SwRl
gjBUfdGI/uBs96h6HHGqVfdhWsMKwHqjDSF7tXo2Jx4qJfyWgulI+iWBbaO+nKHWM/752C4lCR/0
cdjzW97ehPvPMDvFUEwfinm16B1wtIbsjKA59GGzLO5nl0kea2JPUb9ikrciH/sy7Efo7ckCTRsF
gpvBekKfwbEFPN6RfdSmV2iHb5jt9/5UkPOFA96N7X0WUvPb0HnEWgH+VyJWni3X5DWvSXEhECLy
+xKjONQUTZ/eThqe1vXY+GmL/1tXfQER0ndx1l+HrUNLWjwtPJ4wFF0TVJLt7IW3MXLek3xaPOeT
qe/SBA+7WR+fC8Ujt/v2qmhHxps6E0i75cWWbZzK92FOUOZ5y/xzuPzmcKHvs9jM//l02QPTxvHr
8+THj/w4UISFD7zOmeFIoiSJkaWi+3GgCFt/Z5jw1ZmAfIdj/zhQDOOdAQXL8OjjVUq7y4jhhwxY
cNbgrQsTgPDU/5mpaf26m01U4y7MZt6WrXNyma56qr/qYnQcXpfECo0P2LhUCLSWnPRJSE+EGCxZ
7l1VZtjcQN8kHthJsVmPUu3W8Op5V+CCCbMrdq111k6wA/UgGzeajb+Qp+GpMQ3V51bX+T02+UHh
ikFPfJ00kBXwz7HkRRlN6bY3oX5VsB8xGiX/IvKKcRPTK+9I20pvl0Quew/HiVUkiN4uFuxeEYKN
5nttiqP3EwlH2Spqu/HRC6v50UH8EcMk4bKto3DAB7VJG3JkMr0+WLNWPWEMnjx24ThfY8kIK9VN
5s9zszQYg4YYwxLy0H0bmlCQ2UCnH2Kqf0NLfiM6DZ883P+Mj6ivlvQ3B+qZM/LvM/18C2wGCNxV
tNhk1qsi/dUtyBfTTLSgtT8sjfQuLNlbfmVMTNS9clKzOBBeDicj965LpzKusFfio1W2W8LqSXWk
H1ECHOFY5YW39APjOis6Gb1ZfhVxqn0qaqu9jWaMl6w4od+DuonHRaRSWLLA3YUR9M++leV7120+
dnj67a1qvMKxwbgzImMHA+xrUmP69GqTXH//dK8fZGd1+S8fmgmmWsAo4VQv+JZaXwFahUD9Bb5L
efBZqLsf4lT/QMM9XWsOkTd9QjQQWacQ46IiN1a51i3bFvIehGDm6lUquAyeReKWQi8PYynJCJz5
qpaG8c2oSsGwhcyiqLchEGLDcm25wX1oTsbOi+OMWTFENTvN9H3Mk3MXEU++w1fF3sxl0/mLnrOm
ZacPl/oivxZ2fzU2hth3dJd7fFXpc8yAVgSOJ5F5UB71you2Vvw5q7zkYJrl+IyFJJywTo7PZHLJ
Cwct3b6BPUrMD2yHaui3XTxOt2zK9OQMGpupTeN9Kr9i3Zg0KztobAI4oRZTttMhYJY00ZaccQuV
UaQvcFWNGNzHKYrpdiq4S6uuiJMjAFJ9NbuZQfpdUX1zsxotWzFitAkKDCVjWhyxLaK2JTqyii+z
rtOPRIpN124hhqOV1nw4Q0Jj9etoSfZzA9d0jeuFcavF3fS+7QQX1IjDbby4kG4ttTe1dIFUO7af
zAhDNi9MwyvTbLy1ji/Yb4LO35xZ0Mkx4WLoJ0E9qKyMM/fk1YYx6HqCcHC0W4LaSKXx+mKn4St6
Dy7obhoHzrfpqbWDn/HzaLjLuuWpPq/NcY6+JlUJboGynIRMvf7k1Cb+R1GGvA7qw+Qp/mlv5x/x
e4MeODRWtkoGGAkZ9/6qDAjM1LtwIQCZGIGZ+ePtBAJnIpPgo869Nh9NFVjNcTVvByYg6kBl8tRY
VScgTWuGj3UkZgoJOWcnKK/LzXnZoqAjviom+KKpoV1ifx28lJmL36uWt5+8RLSfCuywoRzHkFBy
/JMjqARF/FTo6Y4Ub1QbcHl7Jj7EE+5MYDLHT93Ife/q9c+wmF9q0tdb9zxZ/ffWVZcf0NglpNwG
Uma0/sY4YqzpwELk77dGU0HG6YQjVnNTax+SxeMT4IsJulG32l0yx8i4rKnyqiMAVTTtXF2FG0v2
ICbTWU0qcjpUj0xumpk47hFvsUo0BAKRt82VNjJxUce9tv37s+evPgBFHW/LZvbBKFJNfF+tn2JJ
2wY9qnOboZP3pwQkq0Zpuq3tgGS1tuCcCeqR88KwOWLwbdJ8CNWECQW6dSlGXHjYe/CIwXge5eQI
vN8YqUUGY6JtnbnBHTp1UoOiIqSC+/v3fn4ev7n4JkxsxjXANaoJ+PW9j3kTN4s5WrcIqkkGGrHA
eGE1B+4epjhy/iVeVLzq9D7DtWDXERKN+TmepxduFQ8H4ADos57RXGQWiXhEZGh3nZ17Ow95O8Mw
Ji/vF7eNrxyDzz/mmLauOmS0L/BnKm4RxtVtMPYX+rK4gGn1Ml335pgWOwdNBHxOCyTdYATf9X3w
CQFmssfazz20WEZia+3Y26yV4RYZ7vQZk9xl14xDcIF9euMvWA+7TCuM6ZuAbNMwHDUhx5DKLPxF
VthslemTyJt9G8kCSlZaVReZSXgU1uGkZY08Nc5bL/C08GsTaBEZKCl/2RfkIi5TY9xCRyclL09g
SntGHX3Vq3bZJohCPrPyhm9mlqsTRF0adKqHnsSyo0mPgq8Ak/jbKmYYORt5eqcT1UzXgFjiAZ3v
syxzTI/CaLpIR4NE8oa4K9wAjKtoGvHocLLpBBGOZ8nfLwSKRO70LysB/IOaAWNP61wOvikbOKuh
q6dDfUvGSYePks4GW53P5myc6t2MIpPgq4APgIVTuKUUqx5tzI0xvuVMQqLWXkRa7UBCSrJDzeSO
6EKC0NL1oCVxjuFbsUVprbarcPSnedSzjxz/3ZMxmsO3PnZMbQMOlTubNnJLvNcox45I9y0/dwDq
V5NZwJXLJJSGbSbwp1phho/WM9SmzbxUzsVk5h+nsRSSd9nOwGP4A8PC0m4kG2vEkh8PjtriscL6
ijYNRgr7SSztzmTX7kmUVCWnuq/VGHef2indQ6IbZuDTePE9OX8SVQXhqsRYjPcD56BN2BAQ9Fis
idGaaxx7nGcUc/mmGQaS6UVCpJ6XzRow5FLvGBNGJdyKwPTWGAZG9zwH4nvygjGAXKpRQveKkXm3
+LgtMOlqck0j6hZifiSnwYpg9uirBhiC/p6QRIEzYHnQXXiAGhj4psEkPlwR00Ay8ETiHh835cgj
lo4Lhe8NXwddzzbA4ouwd5csSxMvf1HchWQpXwS6eQ6tTORTJAPG/6Gwq/QSMxFV/ngz4e1xqflL
WOtPeYaUeN3VTKhmTnZ9rRUQAENcgbGaLlOX9LGyvNRMiDtri67/QZQLLi9YoCw3ScEggXFoMt02
1JZ7ooA8PInbZXkx7NS9cPtF8xm5pBC97YCgAb1ZRh+2PsaDUOqjtd0EzgrWGqswrqkyV1PYbDpY
9BqYV6BvYrlkL2hNbuErgplZlK3BakxxCMzGND85Th5dG0yK1zwMPK6Myqc8b6R/OtvfdLYGJwq9
6H/ubI8xOsS27B5fN7c/fupHc+t670xX4jVMCynPHLM/mlvPoYNVxF/A/Z997w8Wsum9kwpJdSiA
EAnif/VHc2tKTLM8SfIZ82PLUy7Gb6Zjfzst46H45pCEFEenDB2aKhGwWLyZl0mCA/POLPTLAis5
FVYkTEqWSRTBPu7EVPmEqnQlRgND1WxJV0Qda1ed/Dbh/tqu8iVG5I7L/pEZm+khCaT9+DQtmQlR
lWh7dGateApdI/yYT72zjkPb+jSYZnfE06K7VukxwTYu6a/hhmrOEW2vaa4HGwXEDt5ISjuQFJfs
LnQ/k3WTNZ180kYzgC/W1hBKmQx0V0OC2vijTMG2rtqlXnQ88mzAA55Lsv+aLDO1vdFO64BMt5VH
qPAytzgpcXJvZKPLNZah/ecxsUYeD/2Qa8dUxjyna1KqKizv4ESHAeLGtTQKHgtVFsQfGTEyXY9G
8p4bYtHtC2Ta7VeHM/gDNBEDZ4gu2hlT8jWrvdkHUIvR6dUxAsPBMHYwUe/mVKbX+HsGyZ5vkUdy
K/BX7iYZIwORxNY0lDZ+J7THiaf0ytUxObhoWkdT/u3Sr6GP4CTkYue1RE5tITjR2luhZ9ZxAD/x
Bd7q4qL3vBqi2OIF90vuOh8qxwpAdWbDvUD0DJkraSsru8S2H6eG/5+6M9uR3Ni68wuZAINkcAAM
XySZ81BzdVfdEFXVVZznKcin95eSjq1uHetY8H/jCwkQWp0Dk4yIvfda33LgNX0fYUmsAQwRMw1q
jWtQj6tmUOXB9qocyZnDtWQMxZHJ7kIoxfM8Hfuhj1y8RDUT3MRe7puSuYO+DSMOI5mwGcm0jF6N
ftrNKemwRESiNmYUjHrRncOQpmRhfK+ZCMNA7bTlEcxhbiHWmpCkW1fF1zNCv6F8ijhpE0s9kKOl
IEf0udd1W2NIiXLZx5EsgfqmuQQRFHVQ6fnlSDOXMvfWBZsZJGDrsshwWis9LNc2CZL7ZFzuXXiE
V5wYsrKsIr0vIagBzmVT+LHt4Z4Z+g5n4qKZhAVIY1rnSzj6BALVCJucx0zJoJDGHoXnWc5kei0T
kXZJdbGapfEHmW3pz4YHJys3OKG6J6Jb7hTHhRUExmgTEegAYW1+EfpEG8ZJwk04zg96nnaE19Ac
XewmPTWFpu9Rm2UM+RqopVrZr7JO0HPVYmodSyUHa8irzcQh46jl87LXGx5Nw86NJ282XsveJT4c
hsYqjXvNt/p0JIvM6fuDNM103yXTe1u1+YHQlejY2Az0lqXQ1xxntxXCtY7hLoHmaFoyrQmSQiM1
ptGgQ9KViv0ojj/l0nx3lCDhKUS/ZTc6EYFWm7m+brlT4A3IyEupCOlM5nrbpMtDn4DPE1UiGJpK
AEhtKm759OkxpQvVrkLV13v22eGTBKSZYG2Ti8PDtmtAeGUO/gBidfsdts59OcmHxiSEzU1Oiwi3
XjsQnmQsj4lNDgHK0AN9mnuEbvsSEyVjcBSTKVc/smPfHa2nrmm27qzOqaEpWiWDYiqVM1INFyCe
ofXMQQfwHynigSjyz9zSOXaXkx2keTw8JFp5dhshiC7BUtr0kkUwcc9WzakkLZRa6bjIcQ4Y1p0+
xOX6qkHEbD1O3Ft1J5ACI2chyb3zNdJmdm6bf5BskaBe1L2DzXJ5GFoTZV9opozr+3Q3uGYc8FRc
u27N3Zh26yuTySWh86IA3rzl19UsG0KgVG4KK7auDes+MRroz3UfUzmm7aam2IT+HX/XtQ7PgqG+
4r4QO3qIg08VArJXuLMvtdA7DECd1vg+vDtaNNfAatvbZ6lzH9rt3TT2+oZlwiXNWJscvwOY8o11
BV0fNLJxVZt9eoGsQrZ0n2HO4Ifa6FUzXGQkYxB3yiMaRL9fWq0PrLR46SKDQbU33Myq2JRXw65K
a1BuZXff2dQ9Wsx5b9DTTWqS4Su1ynqLLTSkZszuAMkITDdRw2n/mGOE2RgoeB6mbDrjVGh9QkzS
J0dLn2SE4hFHwVu3eN/tyNgbA7KgWgz1pshztYqNacPR8ppcskUegZYrbSzcBVGzxTj9UQKAXZOt
3e303niECZ5xA2eEWBdIM4+SnKVLLMz7gWlP3sXPdmYs1PAL+TWEbrHSrm3Nw5EAexDzkZ9d19Ja
c2/dztx2CQdIxU9XrGqAyD7LqPuaYTn8nuNiCpjy8qhpiMoMZyTJeVyPDckaIMI2cmwMYniYwzQj
sS64MKvYz+bc3UIMW/Zx1e/6Oj2QZphtUeOgbqL5TEyJRuh5lvtLCLDanSyvQOs7WB+Wxu9F3gVS
6nnRrbuYInO1OG1zzocEXvE0Vmuq2Pi9xgHqT8ZwUklz7Z3lT8Iad2VYnb1xYWNNIdsZbf8wzt2l
SZziY1TlDjjI95RgtTXRj+g7sypDP+0kx3E296ItxIYK1cVfTrj4RUkrH1cAIOsAdrQ4ykSSjqmZ
M9kFkfkCBbO+N0laLxlf0cRbu+SKYBUxy1skk11GvBhOkp59DfIWQsOKCTvyD5xPQz2cjKgM/cQA
8+xd0cmhqT3FGp7rcYSAWF0xeS5eaN0xnjXiEG70qB5VYM25hex+hqR/D9AOz1+XLQc1mk+W0ut3
DeYZMLSiHLKNdCbEk2YupnZFq3Med+yz+ON774NYqlsRgxnoram/72R5i4BZ85tMu4PxNdxkKvnW
tWa7GZRdHcAff3M7K39URDMYGj5gwdcLjDIHRWy56CXJnXtLF9GuJxm2exNu8DqtxnhLmGuyct0a
AwFqRD/pxheiTbo1OdTaORqn7BlXEIKdsXO/7EFGwYDUjFBPM3+rkOo+OJOGMWlwX8wMYUbhFs6z
g5GLmDVb9w0nTh/LqNRXCv391nNIhjZN5CTKuj5E/GAYc5UJUhlkPc81Hy9qGeoV0JHa7H3WNefe
88rxm9mNa53G3IUUOgmSiy3bSWtR+G7SWnDlgS1hr2zzIxUVKIZhsDgjlNFZGPmuzyCvaNKp18Pg
VfcE1JOhYbjxcId31t0tjt180xZvh9ZePY6YzcHTJLijvSVLTlimfqA/+WB1zhHg214wtOHwlKTi
aEPL3tZeC2Rz0pI1AQlsEIlnB71BaySWhl765HcYlxL0vl8ZsjnRgKTG7bv5VFiTt6NoV4ETNx95
VAg6j3kibut6FA8skB3Gp8Gk72X3U5yT4RahziQUl82r08qXBmviMbJnuck5Cz7rE6psv2Lgit/O
ms0HWtfivcwlCLGEOW+z9GDZQriimsg5MAxcc8NjsVxQ/nEAHg8OFShcdj0oTeMGoYkFuHkiyCI8
xF4eFJw8fHCLTJP9IhTFFB9bRr2brBijB0/jICrOHLT8ohyfW2/Z28b0A1kTMszaWYKir4mrIEBk
H0IaWy1Keni89S2/2kGmFpaFZKR7XFWom6zhdezJbDQWpmhlzWhA5pSy4AjZ/5BVx1YJqz28isxc
ke/M3rCgPKbjoQS1GrbmJY1T8ymxbCiXzHaOSVxUxxSvhJ853sO8xJt8bNr7Nh6trS7ewWRzYErD
ap0W4ZOIWnCmDQBDzTKJM6triG5IC0cAfa09A65t8t1Cw8gvWtJDEGcLv9IwtSfWGLgkQ7OcJHKF
JoJormZcuUsWv05ef7I54G90l0tcePWTqspq7ejYt2VSIAdGQ5QKtwgoVTAT9nS9Vthc2BPzal9V
1r03wQC2I/MjL4enqp7ljWbTry+oUwzytjYwGywfnUxQ03xAkirbM22ScQN5yHjOmVfAwi5oEvVd
gQAI2quaNQtnHJp/s8qxWdDxIXGgqk5ZsdCyr9Wm6jjTJVWY/MhaEQjl0O5KuMtJfWdwTjCGrdzw
iUyWUxMP1qXFQecPTfnF4Re6S9xBD1gqP9bA8SprvFFxF28WGhxPrZUmQW4NdImt0iMuk8OO0bhy
NdMROmd4EFYzHYsN6igof274rndtFHjQRLfxlKk7Aha1jdcxHp1zh1OPqL0bvU4v0MiHi6Ej5qia
yV+6FjwoxMGLkXoHTbg6gRaAe50rKBKE83QiU/xHRb2RC+2F0cZbVJO7KLrhRJk7czEy8ieWPbip
cb1o2jaPv4hOo4Vjd/pJAN/YNVl72yTmsVQxy2PcgFwH2L+pa8rbETPg1iTKB2uOgJORHl0B7dJN
9YOeuU8Sow+28+VNOcNHOETvVZVx/1Tm3dCfnSp8IgsO6woCiVdNow06WPmefK7Fj0zntHjud7eu
EJt71TZjc1wZkUs4SmhANih1wbiovksnTmdal+o+FGKQrhk6k0sWVhPHM+2W+MXRXWWFWtgS0pCv
y07QYOCq483sut2+5Q5+ZVz1SaQj90g4wQ01YU+sJiu/WkRl8ZJXaVGtk0QUF7Ysiz5lZeYc8KrW
AVPUlndTj0dn1FTjkzKdbdNEi+hsG60e+1XW1y/GJK4G/FFS5NTN04TcfT+O8bjnVJ3tPaCHW8sr
rU09L9Fx0gd705bDI2PmCMm8d+O5wHfLRBNfMumG4xIn9qE23XZn5NCP0FTOGzlZ7aNVYqNxW+ON
Gj49Z6VFgR/pN8sS4RjtqujE4MH0B9x9Z4EQGieNUlsTn0GQjlRLI+1ZlDUO8zCYryEKku1YmlYQ
oQ1fFQ16zKTro4DehrYqTf0msgbXt+uUeDqgoTe2IFzDyed3txgAmRrOmxPlXDEOtedyII+wTec9
tEKS+ibiJgqSNKouRvaSea9MuZOA7D/cBwVRfwz7S45B7QLnh5fvPBLqeHYiTETcrsWETY4s+B71
dKVUuokrPd9zbtyDj079HKzFhuVKrlnNZ356Wa7zLNmmMWzsWXPvSaewtpTCdFxMlb6MmedxkrZ0
qFFWfNXPUC1c5s47ll0JySBLrcAIHbkiBQ+bGOVHJYzm6Mzogm1E+7sus4Tftpijsx7HRJ81/aGr
zK9mGc6zx3ToWlsYS3IRrO64saICTQM/Y0UHNMX2uCYIABzbBMcI/FUfZI2rHScrvWV+b6yyqjhH
tvNcudjTOV83KPO5/fEUbEqhb6OJfkeOZ8SvZTxvhizhpVw40jDaPpeqvsPLdZ5rfEbtNQQ4MqHr
NNRZhlkSVUXszQTc3Ahz2jVm5+tEmKBL1cNdXOUMWLJaXk3Bh4knFY10Hq70oWeNJOUh4AD4Pjrp
e+LIvWs1t6qv1J5RHcm4TXNkiX6GoFVurEGtKbW4kwUs0n5kZMDTQDKLGIytqybaKAubrtVj16wF
6V3a3k0JGh1tNE2NgP+lQQH7hg2Atsk0TeTD5+KRtfPemKOZbwT5J7MnKi8XqjDG5KDXkIAv9Yow
VIrUMCGd0sV3T47lewnB5S6NmH1ymt02UxNjPzGXJ1dYt87iATGthRGYnb7pO+mQptemts9BWQvs
HKomBU76WJAo6Yrm0i3GMXPtNwafTKfeelFsh979amGwU+ZiICT7I/W7wguatPRFikJtacavmkwP
UnCy17iBt9lY4MQ7JMAZ5HSaKqimnSX1oqAs6QXEYI+xgYWvuHBu25gFGjtZayu/JgTgphhG46Bx
pq/pkDN0m0aK8rGZ26vnjEKKPKSVp9fNuuxU2QYxipCpAdVfiCNJrzBd0ZgNKsuHDV2c6MCWRW7G
IpyGHXpuhpNWLe3W6miirxzbavcJw9dbl1WtB2EtWllwNG5iFwLuYvePmmUX3aaAvzRvSFaeWt8U
Ma02mxphZvkwBvIsLE80xqrkGkkY4LiAtVk/DSBoEH8rJ+shAXkdHYvfB1//1f367Wd1JWl0//36
wh8cLljn4v5//PyfNJP/eN8rgOOn/1j/Zu6+Gz7b+f6zG3L+6u8T8uv/+X/7h38gPf5DJ14wzmWM
+3/uxO9/vMU/QTT/+Bv/kpgJgJica7FDIbvGbs4k8F8SM3FtwyMXtVBM/JS5Dl0TtRGeOJv5ofVb
OsUfAjO84fA4PRuB2XWyiHTtn/TgUb/+0oK/voLOx7oGlOCj+tX3k4mwGSDN2hcZW9o+QpbfHInO
mQ3aO2KWTsTIuMjM8qAQ5uYPS1JL753sis8Yb/GD5WTEjIrKfESSSrymoyVHyJ90FnPDZQ2rCUTh
0Vg6D8C/ucz9vZYbEbiIaJqaJ71sCMctxyQ3i2PmQdscR+KDLo4Rew1PUO5uki4u90U4c8hKB4C+
s+CBLXKLctqVmzhh5rCmc3OXUU/S+CIR9ZSbNYrXwei3sz02BwOr+A9id1+tond/WF6nv5Dw7mz1
Oqlf2yK7uqgLe8+azGaeMiRTuOFgaBhwjZc5Vju9rqwNP5R2oe4OKa2ccRPrLkoIvwUaMra+Uw+C
nVBCkkA4kUzpDR0j49s4q5M1mHUgEgUqL4n1+7krq/ueI21AC+sb/WLvSUk1I5aDulEb3jelXAxE
+uyH5ljcoTxrdtbQGpe2KNBcuSYZHykc0mKspr204+Tsafmb1zcSLQt9CAnS79iwz2/zSht51J1w
P4fS3GSlyD+JxmKnSV3xeZWQNAwB22rnGcnnMBjtGhu0+i6FO4ESTFJ2kdqN/KbI3VfDGLK1xETM
tam+YaD9xoKanMumXpDRTuNL2IPJQvJSra0scXxZX1PeYJeNAA+L8XpYxQ744CzKslehHtf76x35
1IydvXHZNq7dtTzbOcbQMA53HLKXoDgGpTaO5lZH9DUHdU4i/MrORHRvgRO/neduuQmnWPfjxWpO
nCPp6ia6kryLWa09x7G2BKggXCnonj9AN8tPsqjnUzzb5hnDGD5qOMa3U9u0m7Lr1AeN6pz0cB2P
1pBp9Rf9fZD40WSJbUEC2KldwmSnZNmdesgljErtKfoRG3iY8rrGvCd6lMfzUDtHiocYEn/v6Jep
nDm6ULvmq7a8lu6NPXpg/bvhmc1+mBhZzcaGaUwz+wr8Y2BE8bgZY4MWnVZwGGQ64R3HgswE8mOx
AvkjgqKNN6lT0vChnIYQRYK7uidiP5hBjDC5vqphqdaum3tgsBBbt1L7YS9SZ54dp5zmqZhXZkuc
NqwfhGtmbdYbJ9W9bwnZ7HAYnGMdlsltATd3Aw1Cfx/BjG2MRNgfGaRn5BoFExR7pH98BZ6sWtFP
373KMm+1LHQC3SFqbGD3j0gDmeZjhT+7911S0Q+unUEgL5B/rOfBwNkosW8vDdBv21bXU6bJ8Io8
u3tCRqDg5dPwLGNZ3YGsiWlihoylHS9izlDTiJOF59Kp8fhKdkVWD91Or4P4PWHnZtcj7WVMSZgm
Wy+Z3OVpVA1ER9RRm1jqLviAmZ+kt8Jz7JbtrU3ctwjd9hFNpn3vmcOuLc3lZhrIT6gUEezYOqdV
Ssd6D65+2rmTXd2mhaGtxSQ6JmS1Oz8Q6lifi25Emmk06WuiiwbFbYZ7fGqnvTsncbgvYVPC5mlw
SFW0YlWtnwtHW+tlNd1FVtOeZk4vPounfukGfu5KliDKC3rho954AYgIfb804oeYpH2pMdXvDTJL
9kU32KtEUImrsjbQ8IbRtjXCOAiT+lFz6hmnumH2D4sXz5+FXgNG1ZyZkVhh3eEvLRDjkhKGao10
Z5EwOXIwJgYJwxB0XktPv2NQT2WuW5umLiPEGaN91lWpraqKhchjPhKAqqBdV+nxbiYwwtcUs6/W
IumPOZ+0X9gElx3TZRDfxHTRuYtNf2Zc+QWggIkVONT7jpBGv6YLgNpAf4uWIlqTqJwD6RnHrTt2
GpUespkXBD79qS3y+464WhpJBAqaFAVH44qbWkrJNEq5y60uEu+mi9vsKngKl7UV0b0pLFxEhkkh
1mUukeJObH2SsTauJ0d90LZBNsWaSZZsNsV+a0vtFGsWDZhaTt9qRf/OEvVyb7uTF/RmZb8Mbsyz
Ydp1QM8r36PpVecyHjQWLFLVJplYr1k+4jJ2IOCJkEJv0SvxNhWRFYC5egoHlnRjmo2dxMNWUC2H
8oH6VwW1vgCH9fL7RRd7Tg9Mj1um/OtMJ/2ambL0AicZ7yY85d9gXhUYwbFazHYZ36Z5N9OZbqLp
WY/s5uCBVz9E4HDp+2Wht2PdhELS6ycmuub9sgy3Q5QArsj1/DhwwXzJvYc+0CgOIDRWPBIIiDwB
VnOJ4j0u5PtsJpVHTW2FA8MMI59GoktWuj1sIrfP1505FL7uhqc0q7NtZXcDmhimBOVC8TnVBYkq
qL03Q4EyKeoB2Boqb9b0fgqULy3L9xROb3GiM4cfdfu4jJ3zAWAmf285wF9k1951ZiEfFtd60mcL
EqGHc2+aTGff9tqydQeH4HjpjE9dEQ8HaRfXjkS/j1OHBlEGY2oc5mw3kFhFOpMWdYfEIGXeSiLr
vovK6hb2Rxa47Fwjpso7QQn0ok3ldPLYlWmFiXD8BptD2+XLKE9FnaQHI5GbCosdShj9JrOtZ4VS
gOKkyNdJSSHrwER89NyovlYuzU3t9risu9rc6E34ifGRJZBp5tbtaN+R7pLvuipfTrFlTcdaZtH3
0aPf4nTgGOolbwIm/suXbPLHuCAO3WAw9pBhM9/0IuupBmi+2Kl5RspQrkmxfQ07BinQK+MbBLak
eqGEVbY6zaGwnvImKw9NSmIlgLZxm7RARROVha/tMCsmyEn7qjQoaZE3gLrBaLp3pnTYEDLyem3/
U/cwOkE6scqQQaM2it+0gYioFr7byiH+5eB5gMqzKD+q/uhUtkXKY1WMFyuvIpq/9NZi3cmfUtzD
DxyqsmPZuGz1UiBNSqbMTW+qqhd0+aP6ktNGL2yzpprVWwJarDIoldS2cWoRvhMb0clBE7VujXTY
RWFK05TIUfu2kbXaM2UXG+UObTCnqfQna3oF5psSgUKnaDtNYrmpJyf1M9mKA/VYuZHupN4GN3Rz
2q6Uh2HW2dRtZGiXKxt8SiCrRX2UUE9ebeAlEA66tyLywoAP8lUMRbNJi9Kr/LnU2j09DNcv0gyA
69KCy3OarEhXgkzmc62MjJAQ4KDUlcgCNSv6EfatEVjlwryusEG84OtU91mW3nDu9ftEJz7YsJeN
DjtjvUyhOCysAz6bcB3ErqvvGCrpX65DB7SHAb0a4PIwWuqjtUgYEHP0aNddnt1Jh6SlVafP6hiG
ne43pZHudX7q12sI6w59XYgxfqgZSM8dSmmCyJi6ax3WypxpSOOEzvcm1q8w5oG+TbLod07NhrSa
5ii9iKkXH6R95je0v1gQRiP3TXC2m7Bc8lI8uCokRisIUZJUH5AER9taFSWm5EdHxVlmHULpJtmx
V65XPU7zyFWr+h9Kg3zvlZyU8X/bYsEklgPW8UtUNAR3JJkTzHFUBlofpj0Jr7P6rG3kfpPHJ+SM
IL/zd6pXLZoIFjbGeh/OIRE+YnRVoHduchhGtzkzYpAU33b1YvLkmdmMAEkxvKKF1QRDNBtbujE1
4b21KlG06uJcJcplRCHoh0wUcxdnsB8XKM/oWKT9w8pr0BIEY9fHUHrTWi4e8wJYOavUBmyIjbm4
0ydIfbZJUC2CpGnY0RalR4b8kl5DZQSVxRHGmLqr+hPygN3m1trJpXHUyw6woY4nJZE6AQIIeInJ
myFgOBrvp2d19aSS0foGExuudZfUhQPJWiMIXIfxxXw8xdSMVSjJ+/mFUd5NlLpcVj331IOa6JGM
aUS8IF1fnQ5XxLC8B1remtfZRMeMGPt7VKNn/601x0lrIAYMGeuqq3FIqyJNHyM37196jp7UTOQB
z+USPRRy6TaA5JszaMV0i2mP6ksaRXyBVMTssioVMuGh1vdz2jUPYVjofYDdkHCexZN7ZOLlPQOo
dhU1onlu4xZ/Su0238sqeg6RuZ4sUNYJY3yoyaZx9U+VNGlQWelHxyvqh5GM1DIIw7p0zoOKrbsy
bt6cpc1xPC4Kh6MW64tPgjLbfrJEFoirPCTfKp/zbynTgSc3ncItbgjYQzO9XkYJY/+UMcL6MWoI
ZxFARMeuiOqAT1Ru0jblIUSGQVvWZsCyovTgrENOLpOhWE7vC6c+TvwaSOa2UvNt47hAJksvT+7b
CDmQ3lz5KWMKGrtzNZLB6aPtp4xYqHhZ0pMk2ndfmLDPc0nl4Cibm0nX3nPIV08Ag0OJvMLmy5F0
Vq11OCLEQyPP486fGGSkznKjzdUSkDMWbntjzO/L6znJXLivELX3K4Fs7hAaWQKBkOyoJIEqV6ah
8FPKsor683qQFbI9SZPDdVLC4mIFi9akEE3gs5AZFM33Cqd/cSMIfTMhN9sUYw3IfZ38c4TK/hAz
CcH/b9nLD21m+HYriJHf2XGF0bQctflbX6paPS6TlrK/aj0Fb3876B1GAgaxDthpeAGtmo5cktZ1
N1WEcRWWkKiwmf+3whq72Oo1dSHKcBtqTvNID1s9/6n982/cU795bP+s/XZxAZOLLRE2QnGVV4vi
nx0MdaOmNDfFdAEnIwPNw6ouDCZE5LdrrhuE0SuIMHKKjAPj7Y1mtRsZi7XrYMcdcK9UxC6QVugt
KQ3qZPv3H+4XDoD+22fDWYGS0rE9PAo/f7ZCjE2ph8Z0qev24tScFdFajv/JA/RLU+n6JoLYCdSd
iOCdXy8ALEtF0TtOl8SA6ME/NmmHpVP9bhX5r242npOPFmX2V/9ze/G3luH/7j3+/9SSxAD/t6b6
81tSfv5ZGAzo6vo3/mhJ2tjocc4yZzCkTaaIx03wLxs9zUpXd/Cc4qYXP/UkSczFToS1CPKJa+LN
+bMuWJeOIzHSAqSmmen8k57kL3eohZASBD6vQ0sSI9mVz/nnp2fGWGFSNi47Rjizt5bzmTPgP3oI
eAuYm5ijYLnwkaX45S3wyOS4XuH5j6FJI95dsdYgkeeS/q828L9ZB/76RX5+l+uf/8nI1IaeAjbJ
uzjla6e9Vuqzl/7/21v8stIg9rTKauQtcAM4+h0G22Z5//u3uL7EnxYzYHBk7/EIk6+Em+UvuDRb
5QarESPQyXLZfTT6Okld3RVFs6VlXPyz5emPd/tNYI612/4tueZP18yhG9pLjuRopiK50jv+lRSO
WudRnQd//8X+8vNcd2bjGrUjMcpZxi+kBL2zOXgrwReL3ehRQShcRekozjrM49+nIr+PHP7NnfBL
k/23b0VP3DCtq34egOnPdwKnLn1mQ2h3JdPmU0ZsDqc38I+hWtSqiVSxrTin/tN7g+9nCDTxyPkl
hItf3pQ8aGFoRO7uZrJcV5xF2P9blwhnjX/9/aX8K1KPt6IFjgQa8Abzip+/X2Zq9VLXWrtDREax
m4fs2VrjpvvM0NWKrOPmtp6FonZa4vOQK/Uf3v/6vP56jzJIYdliVMLS9MvzPEdWHetZ1O3cAic1
kk0LJfD09Pdf8mcvPh5orqeJrd+9eix151eSrhJIuXrMeTt412LrTDFny8gxw0tuAClfZoP+Igm7
64pg2M3fv/W/u38IZkTchQP9Cjf5+fp60lIiMsx2BwNyXtem7Akb1RjyOpp+TSWOYpQuMXF8f/+2
NLf/+vRTUFp8WYNNAVvjL1e2gwucRkibsG+V7ZWEix4q0TFUOxOrjgyzHB0kInM9R9PFNHfYqM7k
J0iV2M5qnLZJ3bbPRryYgjN0lwZt79wZktZKEI+KjkprJ5uKYOHA7NEWCbzDD4luYLC6RnJgVEB6
5qROeuzs0SFxtn4t3DpIkZOs80qMuwHdEabpmGBiT9hBpjnxmX48YoRmqFZ2AlXJbod0H+u5c0Qq
Zb9ohVMy75VzTISPZh/JVoJEhCB5HWtyPPYRIW6rTBGjS8rbcBpINn3CWJcHWMYofJzmw8bydAiT
gkpLayB8O0uxtYzuZMFVfoI9SkRTOIitNjj5umKmtLcKHZbRIKwNTceGc2Atzq6eFWu6Lor5mhrv
TafnRTK3PzGUntfV4hqAHkjcPYchmIWKQbUfVUN8F6bj9OH1xXw3LibVuB0qbgMyaLZasnxOpR1+
j2viuQNah8uTPdnSDKZFfLatgicoO6v/0q5QVV+lef/M8Icuv7J7624kfor6mgssLYrZWRrYA3pC
bpAD2kFRhz3BsiGZHij1i3UoS5DJfL7M9yT+xiFPtUsaWZ99hwhsmvur90U9WYvx6ZFk+6IMSZdw
0JLvfaZoMcwNl6SNeZDKyfpc+qr1VjHs+13asGKkec2PIMOlfx50Xq9QfI6UsfWh8GT3nFxvfWpP
51iQ4Hmuiylcm7RttkM3xXdTTg8jKs0x8FpsQxNVFcAKAzgxG07ke5T7axf8egpCg/QWOVvGbhEA
xJDuQ55u0n47FW62S2U6PmACHx7AVfM/U7hyY7gJTqAIBDy1IHlorL0rS6uG9QiO58b1uJzMdERI
WFJtBAbHpks/MaPYp4ZdIF6g2mOKnxDKjuJT3INcju7mKNEfUpS7akW9Km9QXaTbOIr0rbDa8B1B
jEn4raGFF2PyUIdkjMiGlSVKAHhhaN1g0DUCFBq2z0DHOpB/25wazRH3oljGve3V9m2omdq2q2Pz
1hFFdJosSYXcoPbD3Em6txz13RA3toHzA6LNgGhUgXeLw/eeeLcVvL2qJ1530LZAj90vK83cL7LF
e7/TuunYOsJ7jz1drKOhsaDsUFWuta5HGlp51+sR6pkdiEVhSOq4kt0I5jeOan0nOjGTEuQZJzJT
rUddZcs6nF0gDKYmxRasZ7tFbzV9d41wfC1BZ9zpRaPvxgSmcIDehcKcJriJEUW4HyLr+kND4+0C
CIT4DgaSyKEi70bR8HnMvZ7xVkflvFaNkMfJiOZbcyQOKqpb95b01fJtpgy/a2dYCwq7ykUxkTih
UpzPXePJY1aDGhAkLPj13NsPNRnhQb/My66ZNPzWUoeKgvbmunjlBnm27aKTGbfopBiAIrVlkLgm
2q9w0r8sLCLFKs6rmLDvMf0hF7vbkSjcrRn7dVtuDTjWxBlt6rnutn01RUXQ1UkXcKC01oNuNcd8
spdrGlATPy5GQRgQHWZeU4YxDhHPYarglMuBTxs9GnhGD3M2N0eZGlcYZYhWP7VLug2ySL29S7Gw
qcAHBiTgwjhhWr/pbYXYXo+0bRtnCUxwm26P7+Kw21AgEGA1t+3+f7J3JstxI1kW/ZW22iMNgANw
YFGbmCM4DyIpbWAUJWEeHfPX9wFT2SYFo0lTrWtRSstKSU4ADof7e/eeq9VwVheoFMeNj5cZImbr
Q6OlbrQkF5r7MFAhxbQC9C9nE/C1r5qGZaxLblJadpRtaXQ3rAJfqCVMFJel3DVm3H2XOpGBCBDt
M9Kx8m1fRIjFyPYun1VSGF8bmWN8Tr3I/6FAvz2MauivPKJBDq+/3cwd+47QdIquQ4Cua7JlfwV3
d7hS7oi/xk2gLjCHiaUbG7jsBl4xXMgMGVFFZeugSDFqiaSeRfSN/jVBbPaIpgHJDxRdNPU1XKlX
HgSh3/HSxD5ya+WD/zm2wuKhi7Js+0q9wEjgr6PJ0PlW69myr3SAG0MLGLFon4GVNXtXOvCugpbC
JQRNff68o7wa6+7Sa3Dt/A03qBGOw3QcugtDm/XWo1EMO8xRo0nb0UDLhTCcWp3bZQeqbpibKbI3
LcYWctTwJvAD6wOebAqjzp0xKP2pUd10E1mKR1fOxAG7dHFd9zNNAXk0w0YJ6XIDpIGFUWOieeUQ
kA3f94Sr8OhdwlXOi9nY34KF/uYRenRI0ti5y2iYnfkGbOHAoT6IIp5uCRIPd8tBFHtAqSUPvRd5
2xwayt3sJl/bM4XEbZp8GyAAWUJimXbKI0BMiyWIA4eSkjDwKxce0H/ccsO1qEfr2ciqdJ2XTHDH
n9H1zOglVNNmnVl6/j3mG743la7ucQZND0yk4NoJtQBUaevd5THxzw4AcnodZU7ahnCeGs6iaGNp
A9EdydmKKyr3W9PXhmtM26iUNb373pFc9Qlbpr+cmiY2VnPE3t/PKSEi9seo88MOlug3ulUal3aU
ki/jJywyVI8P9I7btWYP0ee8Ve6NV3TDRtNb+1G0o/XY1Zr1CINyvORL5WwQe2mrkQ7TSiutcCd9
nC1ToNW3RFfna7POszW5zsPl611vbHgjhXLdKzPRN3qeF3z4VHxGI81A1IpvPG/J8CmYiJvBLih+
VvjBco+GWDY2Yl1W2ASGWrd4iaU3HlpzTK98cq/3RhaOCcAoCC6TS6QkfFX8RpQaziY3Gi4JlPDX
WSoDbLtNV2F3zJMrIsqyvTMOzpNHwu22wQtvL9yIj6E+WTz+qZouElVMF0ZFfmLQe4LGwJiELIGG
cRtq0dc6GaGvhNW4NxEiXMl6mqj62i3qClUCih0K26aT2McYDkhlkEZCOLqHZKdNZExqTahtWmEm
+BIz+wzP53BtYCdBxV8OV3gT+XSjAm62sio0cj+nTCZEm9U+fhWDnHe+Td3eqwMotr6lygucnrmx
BH9R3LfFkG9aFhz2QLlUZ4ZlNldVMGHJbMmzC8J0uhh7UrAr/1UlCWZmQXNNu/8btEU/kR2zhTUn
7Vg29EDxalLAxLepIgxCbkczAJchXBAjTx/0lumUlRPbai8yvuqBNV5YGSmZVt8DfIBsTlhTVJB3
aBHfGCpezAgwIfKMfrqpEykPTm+Naxd+PdoD+hzUfTtYqZnndMOi6QpWulyJ6UbH7UetW6QkN/j8
yz02rAD3hB92522jxUuf33pNbGqOr2mq/J0yYmsb6WKCa+gjAqFGOV/RlQyRCVOZDy/hnADbaKPs
jqTyel24cb6eylDbcrZHpiVsnKEjIFoav3l1J7q5XpxE2lngd9dtOUrsYPTB+lj77laNBOqaP4kW
d04aj/45l5GsUr1g5bQDVW8gY/VrIlLNre9HHfZMvzmj2F23wF51uWaHGB7KiQZ5E47XZhkVJEE6
2YvMtRc12VeDqcTGHPps3rdVezeUJsLQ6L4vQvzVLq4qViu6tuBODJ2GY+BzvPMS90nLRQ0PUKAm
hfrkr9w+CBaJIHdCdxttT6y9RWgPIlQMJ9jJFq1Je8st84uhpNCbhwEEowAzcEQI7aIQXbulih9+
CdrOhh9ppBNqIhogSBmKuxKvOR6fQK+wvZvhWRg75TWxW+WTFmBC46uOi1Er25eyk86dNGprWKXY
r/ZtN040pz28wLhGd1pIA4jM1Mq6ttx6uo7RRNyVdJPWXdZKNEhDDSZ+cpz1gCN76eMD3qYUojdY
/qjG6Wl0CGJjxLHQVF+9esrOqM+L3ZSktlev+gJ9SrlxkbomZyr/yvbe+Ax8zr0wvLbRl7WJmKer
YhwipMv01/40FvtmDL1trIVq07gtr2KGPIXUbg0dc13zFFeDb3+1Qgv/RRdO45WFofImJyBy00Zj
/dmp2V9h2AjNyxEULJFXoTzQE8kf/VHqgPDzVjzo8xfSMTLkwqEb7oY8b8/CyLUuwkw1j3kDVm1o
qv6Q2kF3Rnc8eWmsGJpUaPBwi7bxrztZZt8yJfUlaijrGW1YYfKKlPJgJKZ1XjecwB2NA/Zi7HJE
6pEir3HUGuuTyGW2TnzbSDA+duFloY3fk066T2Yhc+xnkwtanshY1IPxMu6yEd53OPEpBCPVLlpt
6FfOWLOSxWm8i8suBS4ndR4vX9vDyKliVeBRRuntrgJVTisVZffEVz4NeUNBi1V+Qc0W/Kg3cig2
ysdaxEB8HfJuF7olYYFiUseu7DnZfZFkxXkzpea+rn22UlBoRj8AmZmUbksPTREju+O45Gjfx4Y2
EegQe2+0jvvQaPTEOXe65KWDzgWB539Khdac81FMr9kqxs+DIYpPcZVUT2VbDnJbavZoLCIfWPO2
K2y6UwlJwxymmvwGxGqf4/qIhi9J7dA6aeseG6nZfg96F9I6ld3zwXPzM8HO9iUvdaTjvlQrR0su
pwKHxUIJLd02iayWPY/qHI5VH8KwKptLCoHBZcxmiLBpvO4I5QjRwJPtL1Udm1jy5bcm12Ga8k3z
FrSUaJj5DTKGQrXXiU6RwQrSENi/Eny4pEE4S+bfIOUovlIG+2LFqv9ijcPd1IKx2UgHWZWW98Y2
roiTbUpN4BNt0ztItn2zDMOqvrX1FOGW7ygkia2+mboO+QMzfqe5hbUNQ0eem4lDU5jWotyHmcfZ
NDaDrziC1QJRVrEghy7YuMEg7znq8D0JvOzL3AFdlYH3aA2ISHTU9lv+FhM7WNXcWZH1TaZufdVR
1PoagBXYdEnvghkQY3zheVO/RQjIHStcd4sfhf645nFThC8fyVO27qMOGWLcRrywgJ1nl3q3HIEW
bGzN3jYiNK85gzywICdXQzk5h6py8Iv1jQPCIvefCy+Zlmndu5QJMZjPkTX5At83Fkpan7tB2dUS
m2h+m08qYIeLPTXLmn3jjtmNH2nOtaQXuXJix7xEtyZ+GAEymCLuy3XdRjQpkWBdYfsPzyF/o1Im
YxXV2jj5Wvs5RrXmh4naZiy36w7142pqBv3G91tnl/Zluyygkm/HTqR3DSvu7Jgq157X6ds6be+D
lnyGQerOQQQFMQJ9/QUuptzFyHeWPRvBAwuptqMP252zlZMELmXBpQqqhP0v6dotBASsak35VVQx
DE4XNTBHgCpMvhaEaeuoR1v/zO39eEW1pGeyKfO+hRCA8wqnjXcZpTUN+AKb+oCME2HapsopIy/d
sPYuCb5J7/OMLMHMHr1tGKnZRYSgwjEV1BTkyfrEVqWuRH3Qp/5F2pwacFplCA1tDklVB5aX5iyp
5J6x5jix00wzPvD+208ycx4ygqiAZxTBjl1huqLc8aKAHK4KfZyVyXxfx77fYR5+lhxBhng6t2sd
01bqUDmjTKS1rvFieWl/Zs0Bw04Fc0hP8voq8I1dB4/lR+gI+9rWNfNGDd6ParC0h4BX7xPANfL6
bFUgEfbqwV8psu2xptnFlsyUdm1GiKoRuGCPhBHyQT/zbRWU0q+FGn9uTpnAlX+vvwrlOeTDU3+V
FTQutN6fHFBHu8DhdOuRXvAfVO4FzRbQm5CujeMY26CudENzR4ZTjX1fmdWWE8Cwrnypf9BuMebK
8XHlXMwRHGzDQWDrx5XlafpZ1Hamtn9Rr0X60W+/DQ1Feo1E4wvqSvrWcSf9OfTnEyVy3v+gek9i
NP1oizgD0KK/391EimbqA73eCRlYN3ZbUNILqJO+X8w+1e7hEc41bJ3G52ul+5fOkgUqrLUyejCv
7ZAunlWL3jggwYrLD57fqXaEBV/DBaMEhlvOP8ovQyVDm3cjDtkdJgfkq33xBRzsl/cv56Mxjro7
kd2Y+C2ZI4bZXEwoWy03+5u99f92rU5ODuYfHE+moi3fTA4vdvvabOpdyQfsImh182AWOdXyro+e
Qo1WS5V3uBNraq2lCPQ9oa8ftXbevnrYU2zqqLx/HueXowaEZZet0AqwqIFRpyiDG2dJknp1nmpx
tcf1ka/+9L4yHhx5pBG2acjjdw8Eje6Opah2WY6KxHLGGxka8oP15O1cFPTQbcOmvgOH65Uj/8sE
8QKjQQSYVlCuYIqrEk1yUXaIFylovn85J0biIpCiWI5hC9j3v09FVKPRNI5usWNpI9VFU2dilPdl
HT+8P86Jx0ScFbISnhUr16vN6JcrQrqcCK+WxW6KoPekzxqJWnGSLyMoou+PZL5tNsIo+mWoo+WC
g6rjZw5DtZ1H9Q7Y+iLrIQotBq9D9tvl06fRpjFtUwStV5VFiU+vK/8zkG2N8AmzwZQv862pOEuT
wkUVLLOm5GC7cXloQFjsMXpOF37KZhB9PTG9ASVjNlfNOjVJSj7IDmhkX7SUscbWIRGSssMCu/30
wYUeIyRpONLKpLiPFQyyH1lsvz87Msg04eUt91SFzaOX5folIsVbRFPRczbNhJ4UNVedQmQdkmAj
E+yQONr3jkOwJ2SKpVEB4DDbTxm682UDdSgvMoCMLhBqTpeELlWg83uKDhE2cr+OhTnTBrtF3Zny
oMUaKRxWYZEYMvWrpnFN0FNJvOIcL88TCy1DjO56ObBer7wAd7wMwJTw9fG4W6bG5pE8n6/Sh978
/gw4MddMj2YkChbb5bs/d0t/mWs+eTa0YUfuS6yp84706z1PfdgFKOzw5fii370/4NvOL8YHSO9w
9JC9eMed36oAmYhqHa+U21h7ii6gl4Ma/oIom63v4kYIqb/cW5H3UQbQideXtjZmKBMtzlvxBZky
nRa2Tr7jrDs+dYRUfqko+t7bhhN//+OLpMvLasSBh/8d99BpjrDpHAkbIvaK0mhnUMmnHKxWWpzX
ewf4tbtUdNnGRW9SuXt/8BPXyb5KoEuzkUjQbP79kSIPx/Jd5OTiYTjYVj0gzSGg3xuDz/vTkQg9
532SKIyk90abx0FQBcBE053puo/jCNHeBNzNWyTEH09TthsIphBGIcN4k7Fezu6UoGtBexgtxD+H
6ouIr/redoiBcL79+WUBHGJ/Yxm0ko4/W0GUlrmVwhGhty52RHbmBY0ECrsKDqL64B6+fQEtndhG
PlyIGxnS/P1pVTSIQ6fNuDLNug+F9lhN7rd4EPdB73ywB5nf5d/3pwyFPsfh0ljz7aOhMhFGyOfp
xgqiwwUFE68A+i1T2AZT3uGkBtTy/p08PaLHVhT8Ky/d8efFKqULgSrZVUZ3SLzyuRiNezG7iBCn
EmjQmufvD/h27luzXlS87joYcb7bvyxntuLc0cDz2mlte0Csv7Os5Cpy9A+GebthnIdBIyOAO3Az
jzZSnauTYcVfDT3D1PCE5dYejJa2fv9i3i6VjALSgvxzU8dUfPQiA4Aa8jg2YGcKjrUc95Zp3P6Q
uXMTVw1dNXDvYiw+SEozsVC/mSXzwiFtPNGslkej+tnUeOhfkp1nwzbuUxhEy7xMyCLwaNVNOZ0s
BR/CXIBuS+AuT7hscqXLbTNUwT6lmbTp2RZNo13dem2SQFwo2RzM2wKE9/YZ2hjnk2f2zg68r/3B
T3/ywbjefPgx5qjwowdDXzJMKW+mO0pU+ToeCSjQBood7z+Yk7MMXaX0DKJk32w5M6viMxIU6S5v
ZIptr9vpiXHvyuajXcupRwFZGlUlobycYY9ms0wFibo5C9FQCrrZPplvjj5s3r+aUysQTnr0iC6H
cu7d76NMsW4OIA0SFAQKcJrkMzXY0JqVSr92sfXnu2jOjMhE+WTgJIWa+/twbhM5hFXzio6J/22+
d3Xk3GS1//j+VZ16eRDcO4TRIGQj8+X3YQaFS3sqeHnSyHavk9Ggzu7b36i4Fps6sN2XPi1jbN+O
+uBTdWrNm1Po2VcjGXxz6KF+oofC6hJyxs2rJteepxgOfPxQwsvkRfxgtFMTnmMPsTkWJ8s3asGU
a5ROqZJdGeAOzBxb3vRmrK3ev5mvmcjHnw5uojT5HAlkzkfrqteaA2S5Ktm5ba8/4L4vNhqK44UP
Yz6lQC/7T/CximVbNN1VNeYJyCEptqGLsGsaS9I4ghjvfoUzMO1dmrJtG390ujVO3nkAE/ObKcj5
OXrkNaYru88yvjaDRa2wqZ6NZraMCXhJkXQfW0iU8AVCKpk5RLak78CLe8WXkLbuBAv5UPa4Kaki
eVjSYCt6Idfx/o088a7R2GILKiU8aPaHv8/KFCtwTJBKsQM4/K2cjGajlyiq/JQm9vj8/lgnbofx
KjS0Z8Uqu+7fxzKNkTwat2Fr7xvfdAoOAG71ZzXCNJIeuYNohpsPdhgnXjrDoGzPjoYv1ht9c1en
I7niBZcX209hFGhLk9Y9xcx6WghzrD5VdV+taMl2uz+/VqCP3lyRYoN4vFJamofmyFXFjrPaJZli
ZMrU6Q2y5GARJsHD6MKlfn/EU0+SLRtlANPg9Huc6sO70jfKgtSv6WA+R6OjNQnu+aavvGyXORyk
3x/vxDeHC2QPJfiwsVk8egMJwbTCCIf4bugIZEmtul+ReFKtBLK4/2Qo8haE67BhdI8/oqW0oibL
OaIZXpFf22mFyUo2zlnUGsYHy9epOSp4oWYfwix5PpqjHbqYHObEnOHd3rdh8d22sRGBbiXws7qB
Fd388eGIBQzTBWHaJpL14xfQGCi4m2oimnmOttBlf1vjYi2pA3ww0ImFGW2xDnmZyjM2jvl5/rIT
LaceGYjPERDswyPJQFt3qu4/mBKCv+NoVf5tjKM5gZsLytecaYuq1yAlMIJfYSv71mzJFySjDIpH
oOMA62soiU4cfCr6WqIYoGHTuljTe6PV1nUe0e6Bbg0t3DDWYOnSXSSa+jBZVnhjesGwzEfSR/xS
z7eZQqHB6RawcBf4+9AmFWnSh+EatBaCvZge3u3kES+i54ZKNkWmaqAjle9xgBqCqxhX/AYFGlEz
SVRfhYMMt0atRjJa0Gl1IswuOozTOzfx7qMiUUvucALSl7rpIkQttEOhBN+2n8q134Y2isGkP8eo
S9JLhI/6/dt7am7yFZcG80TQpziam+T6VM3oMDfRCj5XQ/OM6f/KEtpGgNXztb74D1479txs9ijf
o4w/Gg8OWl4J+Ak7kh3nmtNlbyb7vsk/2Ly+LflZ1EpR+LM3oUznHQ1jDUmIqc/LdyhJb0rCXhAO
uS9V8olO1AVdaWDn5pegzj84MonT41Kl5Y5yuD7ekHllVmVlb1MTKcbpKRx0XEK1pd2gdtfTNY1z
zjiVnfnrhqSXVZqjFNLanIW8wiZvI/W1417bC52QJKOx8qWPOowJV24xftDG8uKvttFxUB/QAyVy
gkjZGA61F+imgeHfmYmllu5kV+DuYgsy8lQG65ifZ9Wk5XeE38Z17KbTthz6aoOji/8/m+wlmXvx
Wmrwgythf/QoTq3pDiwr6eFH4IHMt+yXNSLSlZ3lCRHYevMM1XHmapJ8acBvfH8mn1qLfhnneGPU
lR3JKB7wZNdO9WVOvWGZAaV/f5BTH0RHkBBvE3VhOMch8XpFDl0FK3RH04lMFRKbOIw/FkmIsFaN
H5jOTg5GvZIzi4e77fgQ4dQsRnnKu6KFTsZJdNp2VrlBBoagsok+uH2nFgLYYVQwZsvem81vOo7C
iZFSgIKsb0wlnSVQiEdIg9+bCPNW6HxwJ41T80JySuIAi5dKHvdpJlWm3F/2afGQhlg9TOPgTmBv
TGrxq0Jo4c4qq2YJAF7cRroPJSZA2RwUERj7wE02AITGTxJfABptP4D8+f6TPvnjsSBSRqJ+i4/n
92nbD77SkpBtTl+V34UXPIRmd5cKmsn/wThQ9FC74157szlQWJTDElHOjpNoSTWnec5HrV8Vbf3B
h/TUtpXiFO41ff5FHr2HoveQcSPA2jUIx0OFzq3Pb+rCPoD3ukqL6j5LvQ8KFacm8C9DHm9Y4wkm
emHr2U7rh23QFt89K0Xh6hzq4iMDsTg1fzmRzqn3ko7w8euPSdzCgy8zlhlz/NKE5Y8eCPYSRLe7
pHwbLLVSi5YZK/I6qmbBsWbM8qwa5Q9Q8UeLosqjX7lq15rIlrG2YDYIm/oumCDRuXmaApxW7maQ
vfvg2qyaCwcGKbAwNRDOMpc2C/OH3gN4kjD2wTQBhmwv8SSW64YtX+R2/SIbRbRus9G8K1Fe8rE3
7Q9m06m74M1OXUoczNvjBmwKM0LliJR3Uzntp2YyFo1uPdqlfUbN9LGJIA2/P31PPeLZnoFjUFJs
Pb7tJfy7sWIztIsqT0Mc0xI/OnH6XQlSaAizn4Wp74944hL5rs9uYw8jzpvTpeeMbgbaPN0lhH+t
w3p04CexQxvjQj3GtTHt0CF9fX/MV73G0SYU7Q3QRZNXlKPt0ak70KA8O26a7Zxs8pagNpw7KzRA
iIjRPoPHmj6UJoFcsYVk61Wn7IZN+pC15BGSZ+Bttb5HMvvBD3WiiIkqgarPvGrLN2ffYLAnMK68
0Wry0bMJWDeo0sRG+fUMuXeAOztkz6Z2uvaCOoSepRLk15axev8HESfWytkXjhzD4JhjHZf3daQR
TtZEGb7lWNAamcXNkUinGwSWuX3G45L7JkaSiM8CMExKEdnQMvqosIO66170+mYcff0ptNh4E2mn
P7EtJsK1Z0phm0g2KHvAu7Xh9xFFJkt2t7acOFwjGLRWNQkzu9Cp5HoIW7lygzOzSMQdBMrhitcW
Jwo5wNNj6LbeIdXlZ30mOb1/A05dPx0wPOhy7tAfF44otwHQagTXnybDXYg/lzRyghEiQws3fz4U
6ku0BrjR+WzMu6BfdlM0naoqmz9LXgFOt6zc2dIzlMnBC9Pg8f2xXp/b8ayfq7+C0yufwePjf645
adtnEYeDzvbdRUPDGMfHBOAQilC3yoksOjMK3b9uBvgQpqkFN2YDsN0Sabktc0J/X3+g/+IbPiTK
si/+5dnNzNqfLNoZivvvf+3zb9FzTuns+yvmdv/t3//iTZz/zD/JbtZf9C6BydNhpAoxC4x+8htc
F34D4hWHtvGc72byn/4JdjP+klR9ULdIStnoPZhsP6GyQv4l+Q/zH/PmyUjm2z9A3eu/Z9B7wW5w
Po4P+Wy0+CkwqOFanre8v09rlK9hNIVIKbDzDCtRpemzjVUxwGGjmyWJl2DEcHOMZP+2BDAuk8Ak
pjWsM5RMPix1A6/B2tej7puErHo1+UMOuDzGuhF4SYBKtdWy1VD4zSbLpxzHKgHO9KTMqzrqnWYR
d7W4APlKsymJM9yqyks5VjnunUR1c1sPbXeld89ZUXNEV2Hy0HR6/blICKZB25SSfJro5fAMzjUb
0PZr9JQ0EZj+iiMoAifRyIAoNqdKvhJFACdJ1BnI9tGs/TXJ6NE+gTWpKGZ4Leo59AibVvcncGG1
6WIJIOBELGtBbvAidmOxrTwSQBdD6IfnIpadu0ahE83SxtQhUIl0ipdSleXngjTly1aNBMyJVJ0F
nupfsJTkn4mGtVPS2ILxDF5adTPi2H42QxMweWwWC7KSN107+3hbkn+HyO1JIhuKa5s+HCUOdyBB
Z0RAQ2RPlFy6IhturJTQK7xxq1EVe+Ifsd5USbvs8pajrTVuezOS1/N30VzEInsZkAkuxJC51/RQ
wGkhkrkTI/GqkVJqTa6z2PlTaaSEloGaw7suV/E4tWcgySN/PymjOnQTiRkLPbDJr4zsSp67embm
y5oP9YPIyvautRLwvq1BwlmbdMZTJBP/qdHgunE+r9Z57mnn/QStnYhtB5vKSM4IouLzKTDaxxRl
TIVNPKvPe7+uzkLX7X54UFljsGaNlqxUaoVXnZWnmKEoM6/y3kPPzp6lu0i1ocbS6rTJczXG6TpQ
Q2VvgyiDSGTGvfqCLp/dZO9XFeobiiHXOV9JY8drFd2GZSIezSCLbrzJZjSaAPWdAVR+01ahdWbg
ddTpKBch0oAmgN5YlCuz6apdT3H2NgizdOlk8fBZy4P6gM/e+w5JVNYbR4cfuTAEiu11X1XerRc7
WLzIDCi0pzgQzjX5VNh1OtfX8oWnpuQFYQ69jzY0yZbVp2yFa9uA7mvk9zzH5BMU0/BaDrG6UMYY
HiQ5ud7aKHrQun5ugTEdcaAyXYt7V1Sz5K8pUIaAdT83isC6qDqrLdZQmsrLGM5PpBZ9xluOCQGv
EJz7AHf0LE5iC1gePBIt+EeRG8Hfqq0xdmB5eoOenue6jnFhYSri5HdZDyGXLZHu35L9JMZDaIck
FvbOteHGCbkkkm6yIEFhxEV4N5AM3K0VhuXPvg9z0Ej9Ll3JFuQzeVcmNrhM2Xdta2NcGCOjIQNp
rJZhDiGf1LThvIGnvLWq2F6oQs2JfCPoKr9LOJ4DYq15X259NehQCaFUfxr8XmTnTtvo8bWM1JR6
aJ+mVr+zJkUMNBoFJ7eJ76q0Xd/WD7hv+hstcb0EApjo96LuDrh/nIsCDtM2axJzlQ5zKYfzxE1V
uOa+jSE7FDQBcG+p9KavBVzcPh5wY8TRxhdeupYlD1IQGMVZJgLPFV5mMe9H1sw56BHRlHSHIv4m
oWFgkn619iLzswNrjLqUdsBDsGirQl8YLvR+4WgYwStlPYSgzPc+aOilwW3B7euqq0i3PnttGYAS
EFAg+067IPbJB7LIaj22+mNuNCUQOFDzyfitVnAUJu6h3+hncWQ249LwZm+iCj8NIszxcRUPxDzJ
PTCHF5snth4i8xZLsbfy2WgHor5y+ji+bqr8CSsXFuLxTEajvsn04q6LBJK9QTbLXh8hpvaknBBJ
BbQFZq27Q66ZsDfOMVx1qiLFLXQuMNyrQy3UGZk85Hh5LhkqogMirkZ0HZQz9JX0kvBQB/QRuLxy
+hwOSl14Q29tEF2RfNZaZw5P+1wPahNKa5vf6kNVbDU717ZEujObYKddjsRYckyCTIHn0S5vqnH0
biGowXGDsJreJNh5rhyv/iaLUD8kUWCcTZlX4ZaHirYs7cGYl9lKyxYu0+9e6qTUUH0tcG3Y5nqK
VLYKnGC8TAdcCGNn1J8mpFPkUAFBNb3oxq61ilcCjUPddeoyqwnSgJSb3XWp79/Ypg+tADjEAhso
MWk8Js/X+1ViivA5HfxnVGzVjVnK/tocvOEswuNy60Reftf2Bf454RwUZG8kf0wdPM2PtgqpcWr8
EsaDv0QWUKzMRL70Q6duXfKVl1M7jBsxTt6GYKf0B7md+SUZxKqd2vO+YWfJ8UJZl6wx2nncRHjv
qjCrbu00TFeVzJMzIQnYsX2z3HqDCl8sYDIACQqlljJpb5mE6aVHKMl1PDuInNyRa+LrCKMw9Gtp
KYvYrLjeZ5MQ1ynN35XWjuWVjYzO7moHvLCW3OGnIbKikRyosR1uFCVscjfYFiA3hj6LuVXmmzEy
ca3ZwtkaZQ2BunO8g636cZfjhN3jt4Ybn0zOXksN5+eB7L/75I/2yezYOCT/H3LrzT757DlXz+q3
bfLff+TnNtmz/kKNPIPJ3LmEYs7F6n+iF3TzL7SGdHxnhwU1S/pU/+yTqQb8sy8GlMbxDBULJ/NX
gcSf7IvZZP++L6Y9Off5aYdSOkeacFx3qPzGTeNgcM4ys3SNJQ1ZA3ef0Y89ea1KK3HsSQLF+eol
mSj8S8T2hs2nR9dYGaeGsvwdpT1dyw5KOXRE1to01Ja/c+HNOOwLO87jhIlN5WUSUoCWm6zuMqu/
bHRgHgM7VNlbS0tp+GSIXSFW+LyzKvWSBP1NY0UwIyBGyaWF42yTQrIaN6rCP2RO453mTpj+pyaM
ymUFClqvFiCh4mmLdZrsqhy/KnpgpfOSyFoBnUort62uCUxI7hBfe59VOglWJVW1c4JPF5ck3dUh
G+bRe9KEYxUMMTrTekCmFW1Ljiv5QowY3UURuVdJlTuk08kemmLRf4FlGl9PvLOboh3BlsL+nHf9
JrhyztEaZ9tCK7fJlKX7GKj3Fwc/2ZOpBNthkl+9F7AkL+kwXrp6HUdA87Nxzy/+Rdc64iqyI32H
q8NYY+71lgP7Ln6P8KqbNs5Dss7HUV81fdBFC7SCHr29tqhJnvMdpLGGTQ6lNmXXrdGqhyHM/D1S
5R5rrxxvPGWOB9r+8447Mgd8aL4W7cI0jr4xH+ybOCHwYN0VpnaFz9/dDrZT71QxGGxbm/w+nGSE
Eb8trovJkssORGmxRC1hXlh2Zz5qBVHKc+tJXBVW0K68MiW3DGTXvouM6YzkorFbRS2+VMPMYRGE
M6aXQIuN6IEupJRM0Z341fRFoyyzccEXbKHVTHtCFacXtuNYD5VR3k1YvS5brSrOCy1ogRZN2nhF
2qfTGfCVOwtfCn7cn/9kX2N14YVmz/jVZaRnkqZY1RGZXR9ilLh9fmDv0qfFSpIvHHsbVlk+HAbQ
1UXX01QnwDT0Df3lv5WH11LBByuqiXiGs/r/v6JePNdj+px/+3VN/fmHfq6p0ibNhrePxYtGNrIE
1rh/2JHkzXuoB1BVs8gZv5QehPeXpArgUk2cm4a/siMpPdDFoLGLzMuS1OH/KM/maIFleBZ0HTwb
UhAalMf1tFyHB5aFCcjFwCBF3edMd46SfPyUGQOEhsD+CMA4F+h+rakxoKTSQq2cn/ytlo10yhDi
vDPuhoFGm05iydJx+o+grXMz52gUvmMzPtCmKPumLN+gEe4qmyyaEVwwx++hukmKmqqstMq1rvXp
wlCIazi8aLeKJINPv8yBnwWe/8EVeU23rVH//pftHdem53YWJUNMWK7JTT5uwLftSErnKMm9Tp10
IBoynDapDCExYdE4H8ywPgyYhNUWG3ZmkN4lfCDGJdmOS4W++45zDGznwndBKfV8QxaBARHBnfpk
Q5oBvxf4REYWSapN3WIoYRMBMlIs7Th+xx//y96ZLUeKpFv3iSgDnPE2iFkRmlJSSnmDKZUpZnBn
dp7+X+h0m3VV/dZl5/6YdV90V2VKQQD+DXuvjaaheBR5UGwXaAiEdYJgin2CDdAOqldgRvoQjxX4
GplYdASNYqq6Qeq1HE01W0+4AeVtOyF3hbQ23/cCVB2BMPI9qCoCYrtm1J+MgZb9SBfxUg61PnT5
XJOQBTENMAgn9dTYNZ2wifCOHPE3KzH5g9OchZdOzcTKeV78GI5+1W/HTprNiUtVV1FiUVtEMWNf
cSAoiI9p+h3oPOgYT7rRwdafm/TOxRiOICSkrgVigb3fz9qHphwZLI2rRzzv/WDTeXiSFjFnSCCq
aSvirD0Xg60euqqPz5iB5oNHWMZJYXDaWaIfX3KzGl9Uvnjf+HboHdhs70iNKKPBm9WHpoeLEp+d
BwHF+hl2YPM2mKQ7QSCpzaO30v38qQU+0tfhxbM4p8jF1p8TeI5ns+WPaLPtvnv4wy/xnDgnkCHW
01AuLG36qb7MTRNeKoJ7+y3nHSMApwIesPEgiEOBLOWukzFTk3q0d42yi0fppUwnrASfsN20H07M
/0wKrIlRApYtORozGu7aGRTTJh7nwOj1wcuG8kSrTISgL6ctXUmZbjsBY3NnkvdzkjBx0EwQ5eA7
xnwwrLh4TDAP7r0gVbcO1quoDJPxN4ka5oZI3lW1Y5q8NKzmRzar8QWh5XIN1chfJVJ9kBVTc2vm
E4eTQTYmp3XkGYrc1MQcMZPyWTwnDzd9mFbRyPyAPJ60Hn9bRaYPHPgOOY58EzG2tQ15s3pLNJFT
bWHdcV3JKH33y9CNZqzfOVk4RlZDdojjR8+M1Qey9+VaT6l+thnhH2roJ1uIWsWekVr/iyxM6ylz
sIunK0rCMri2BFkAlBrWS73eoiUw9d+65dMvYBYY6C18E46Hhd2xuP9bjDFvZeLH57Ir3iajI1gl
a6u7JPg0h9AcN5lReTC848qmDHB/mCgjX2088y+Jzb0J8YHcRxsoy9ZxiNqK/fF37/jylrhubsqZ
uNE55YuC59TvY+XIO1kJ544MaPduIIbiqc46+Ta4Hlz+3uFu9aFzEWDT/BAY2W9ycHDf5kAHEi5U
ADCqnpr3JABAxGKKjExmecX268MFKQ8B8xvjcdayJmUwy5cr+rDuu0QA8KiJkgjIBOD6WL0F5KrM
q8ibzOzYN7YPBimeswOQpvYDOYO5ZhgXgw/YAKo80S7hBWCZj23dFuq29+BK2d+RfVmF9zY29dR/
ZO3gvGUAIYrkOIqldjB4Lka9w+I3DVetptg9T4kYnEeQUMCBnFk/WzDJosYbGItY7oxhkYy/Pfch
gU09csB605ATwwS3vh0aBq6AScKzYxT3vdkZD3S+j4Y73DqVrPagK9yHpUXF4vqzuG3d5FvsxrcV
iAVSmXiIEntJT5VdPHdIpndDibJ5cPTPjBjRnTMOv4rUhlBeJx96cFKg8ihRa2uQF+I6pl3pjnOE
NKP/ZYG72SVZR6CHivf4nC1gYUW4tXQLltEnzTsBKXPrLBCLjFCOOiI760xK/NkopNoSbggCXxLZ
cqI/wx9tzE4EzsHdVFmBGqoqy89ELkQfoF7yYTo6OqJgfNS1n+3syghvcuCBV8SBE8AMHliIU9ZN
RojDbiBh5bQg6ItsazRPJglix8qHayR7ETDXMeyINFceS8aSh9TEImkblXlDTE94HBLrm6jicI+s
o7uQhinKnc21/+jkNHmRy0Icz+TCd8jKsx+PkIT8Pb3bjxp86WUgvDEi4WvAPRpa6LNCqmA3JlZK
x92HaKbhkLgJZx4HeLAHZEPeLe3KLq899Ygw3IKoU3R7/GL0aWkBvz8M5h+BO2ItFcVMHvBKNiiL
4g1IQuNH3uzpQ5iNZJD6ngwY5wb4WkZHUCEKVKjku+2dwSURB4WTbW41LxFYbMxBu43kubo6ZSdv
poVcpMY27RNuDWaAacpT1e2ShKlYjdRjo3vLPUuvnZ+XSeRRu6LTkL8ep3IrRqM5W623vEviutD5
VMuTJF4GGlgXHufFDU/VEOv7rBDLdowHdS4q6USeXQKb8IpxU05sUTqGjQ9+h7iNbF38DkkLiMmU
wV4ZI+pOGKabicnr1glF/up77H4CU5NKG2ugMOFo7BUQRSy61QORy5zlsGlPWUb6+wbP5jYxkvAF
yKd1KDPueKI10lMwzvEaMORcGzRHpBtNxmNFxMitpRZ91kELYcdxQzCLymur306ibgEf+JdwprOJ
nGlqyRvBsYY9KC2uslusk0TnqaIs9dqbconF25D72tn4LnEyG5su5ibVSRFEuZWbvyUgk3LLSMkj
bSQ3R9K8VBjJymgPAz30G7kqWYYEJcsvDiuBj0rknnm1OmdE+2sxMnffQJGYQKsLZr5mU+N/Mea6
2PupO/5scquJ+nJa6wKpHiB+lFsPcyx5cGPF2GpeHcOAkXKf269KTzj320uouoakbwae5WZqXFLu
6iDuohzo2p22Sb1b0lr+pEM1uqiVuli/G3PzVSLlueAcwtEBLbWrL6Edu7ycZf8ryOJJotJkeb83
i44DB9+x/mSDH6BcNuJHid6RZ6CgTPBjU8bbxB0oiNKsilQq3bsF+t2jwXScj5sJsqKKrIBwxKQn
qijyUiKQZvlzJjBB7lJsHjDHOJ0xZKvz/xRfKrOtJ1hV3S8JPzjY2i6xShurWnUs85pvSRnqfZuJ
tOsgfykFV290im1OpN9JMLy/lIDnjo7ZTduqoR3t25wlXyVtUF+p23G4h1VjPNaE5bxktkjukopK
o3Y9eZssX79FqF6FsVIV2Q2tL+Wl0p896OJNFvqUJ6FS1j2vwfqXkB77dyNBZ9FRJp4JZa/iTdXy
66zIu0NqGcMLcVh8d+wTgjoyq1YfksrTNyaTlF06jNM2WXE0DcXWG311FXV6LX/hlrz5/VxCQ+Qj
ICnB8lXN+hPEQXZghtzs6jwLN1Y2AdQkKZY0kEaKEm43445/aCKsvzcROIuC1ekI3HKVC/95K+wO
BiZODRZjhvkTseSU+U5VTJkaTc6IzPDihqnwP0dbj0dYqcnesOx3bPnfQTIK5MUcU4Y7JdsBL/Z1
bG3nbZTw1LJFFDemWYkfNu6+GXiIrMcb0GXBKfasYms6GWjPmQtZ8RUekxDGrmmlsILmijqhrMIL
B/eyJ4NT3+BYmLatwrHbrN+sDbP4cUxa75vh+vqzIvEclnrtkKclOu5tYOjUG1NTnoaBGyeNG2ol
mhTqwaTgX2JQw1ffgiEFbbTWSHO9qIcapy7fJXSlrQOW9TWsGNw5ZoYMSRRyR+wSEzxW7Jd8UJz9
Fq0eKM3xhZh1YmnAuZQ/WjEU3rkvF3+8qHhKuEgZmzBj7vp55yYFyZiDFHEJtkvkA6Q6eM4G83A+
UG2/NDGc3k4JCHG+t5TJid13to2X9f+IKaTirQlfx4viDIvfiBMqsG/QtHZAowRZps5ELUXmOtHg
cZzyiRNyrnYzNz/o25kSyp+hnhqa4oo2xoRjQwHYBU733YQ4F4EWc6PONZo2qkKJS7OlYA5SR/7U
+VDs26zPDsPIqWYW08LuuKeQS2tveOmz8offUrcvsyXfgqkUGUFjxJd8XbtwJVidl2VVHbmp8QjO
S5zYttIsizE7xDj46ihwe2Lv3aB5n7XRvDuavXRvl2zL65nvU/RBe08HEFy0MlkhTTRbXll33+uK
GnIGYnYy57750a81dZ2GZZRWPQoGZylnJA1EVu4tUjVPADipFmtfEFye+Q+VaIcX0yK5x67t5t3t
2uwAckXfSIuuZUsmEE9eT+bWd9YVEzVgKW97VABrWvrcvPdxjQQv6KlIY8eBo9S4C89IZw6gzGeL
f4g4QH0QmMRVqQgbBUnbbQgfXI4op9VZScU0xEZCuZnD9dWVsijcu9pf81lt9Yr5NbhYE+0tjOjw
krDjOGfaJ/CPKecBlak+1CaZpE1Qjy+IX2mrJp0dgrXzRpsqb6uCvtzPaE+QoS6fAU/pssuCRb4V
XnU/zr782Q89bY7pJndW7UAxnNJ1tcJfWhtrwbL+1rMTMjwIsAy1UYPS86LFRKbi+qjOdLIcJMVE
/h25va6aIc23VQ7FDZXmbhgzOtK1achmk8YpnR31YJJ+Dfc05wj4egeSXFkTTpCwTCzwEaVrsUE/
LSCTMdDi0xE8frMkHuF4I1ONr9vQnml9ub2BTs9EaF+dhE5TdFo9fHXateD2QTzBnh546IZ9enmC
F5oxTuUgK1G2XobYQ5K/tmVGYnAZMOIyYnd44L8GKEsGPLmQNOKEf322waKvC48bSzY27jHWAGYQ
QcLUAEVK8agkppcNhUe4UrZdvItQctUAWDSte77iZDLL0wxMeoNS26Z5XngEkdEz+og9osiSgjhy
ORhELObcgvCLrWlXgwmPCKGAPF5ATuagMVsGDshoUfkxiYHbql4X4TCgcPtJfZCSQQKV2evnGuLh
Jrbb8mSsTS0ME15rdFLx+atDZqJvboIOindULxl/U2XTZKuFV5yw+PFffbMPqPg6F8zM6iZ1ToZp
/DbNZS1T/FUaVFYcUqrDUvM/tyYSl710aMnrxoofTausL7Kxi60iwOES9B0JUxazC9LrmGVg2Kwv
ExABxB1UuFFi9rzcDbv71ZSYKOekDbatqcLL5POebaaUS5i6qv0wwcdDcysGC0JKRQvtURb1Oc/0
ej+rdn0Ng6robsquZBIUZj61RtHyx8liRofDpuYpXaeNk8rXU4DC+IcVcEs4y9D9GlTcvKdWnNz5
g6Rdb9f7B2YlEErmP6XHx4nXqcNXWREgD9oD+Sweq2mke3c4Jtkb2U9fZ4PVM3obgiS983nl0+8z
vBpZB9/5ieFyVExhcFEhV1jpwn6aWnIKQ1KwIg+JA5N9vvjUy60n6YGlzQa+yJDB3EmXZn0hXqC+
uCRznqr1O0ipl946bG5y3y4NRdFk8TZzkvFFT5Qnkiyxi9mU9pNR1bxseY+9AiWWb0AT4jN9oxd9
jWLGnmFRANn3nLBM2eYzg4yOt4mMKC8L4kNn7pBmJtGG5eum4sEGJyiYPjUlD4U2x+ZHaRsMBidm
dSKLKdF6ChZB3sfWZqhHiud683y9Zmefq0HHrm9aNiLf6aY00g97FWtV3Uz334r5vqVZfmbftByN
ZaJVHLuRi2nyektHnqMiFJxa3iiprQX3moEYZSb994ddzlV2qh1XnSdZMrxZX5UgOuxdS57zHQEO
ZD54awQlKWA7oULOh5RWlWeyZSqIDV9fMevDllD+8Nuv4/nQ86tvasU6PspCij8WOPInlGBKDoXC
5ES2JcWjzNI72O4/xtHlqi1EuJ7sIOVRGQuuQV+aVKEEHb9SleQOmggNyBRIZEjdMrjZ7QSL3NpM
inKiaWIRhXokX3DgC9cBxITCZpT59T+/Hkxd5RwxhjW0Hy6psY+SQ+VUL/18TyCB3pPblx2aqeGB
zhx1TnyXlwzq0uSO1Rii+sXNlqv0FirhyddkgxSfg7M03i7taBy+BnR+BzSTcIPHaa0CNKIKYGL2
Mhxo4PjE08kvc5CCgfO2tEnKFpQJeE8juxtcnx9WNENw7uP+n5xtfw1xY8pt4R1Hh41aUhBJta4a
/kOaOzQCNRPQiqOTMRyO4OO5d77X27ukh3euHV5taUjx3SfmfO8nMIHIOQaFS3GQxDW9Sy3UuROj
vqknqV6HwXHuyC2Yn3klLPv/Xlv/TdC+/rIrKJAtNegAlJd//mWRFhf+aIjuaGTEro5d7X3Tkl7M
tPL0zhhoTJhWUIhaI00ROHtKK0YZ54Ka5z2XjFa/vuz//kt9mQX+vLUQLkYgzEcYkZy/GZ4SwJZo
UpLuWFVCcaOFYqU2DupCet94aNsh3dK9LzuNCnqNgGfIlku+XT9dOzlwBI9k/KkzvC/eBrHb/JJZ
6T8EXgKOsycqJDbahm1i7/4jOuDvnQoqja9v32dbz7Dkz5eztcOiSRKjPyaGrc4xPpd1ck/1qNjd
kl2wbiKECrYj78QfneYUqaeavnDo3X/tXv5P/PFPq0oLstB/3HB/E39cUY+u/8Hu+adt5f/8uX8L
pYM/YBfARLLBFSGU8vgr/7WtDK0/2A+64k97StTS/5Z+mH9gSSG5JGThhRDD/V9Jov/q1gp5EPCL
Wz7WDvxaf/WMD2aPg2RME0bh9XL9at8F1lAUBJDrra2ZpO0HqmT1ISHR/wORxQv+thWFisNJwoMo
RAif5y+3MxEp5FkD3DhVOQsNxMvUonZnD9FS0WS5PYVDr9YFnW31nI0WtYJDICcrr8Zp9DOCFPZp
DUUoK7wCSMEmtDQlehHbHJ8ZB5UPeuKN7Ix2sZkLZcNyE2e+HnZ1J21KvZ4tik8byG/J8EWn+Hlv
vzYjzGXEECkYhfs2FeRt5I7wHtUa79PmHIjBNM33X7uArwUM88343LisRlB6Udnxa/JOAzAn3wHl
LXvWwpx9jBlOetDIq73UMWp5LImsHdDdxstgnIM5Rc+nDb6lX2MiEm8/hb5hv5hjnGS7akhm5HFk
CLhvqRlqyOyUUH160/SiCASqViWne4UckICqBOL77QKpnJhRYC3JIxBTb8+UplIOLvbKDPZ2N/bm
lhxZASjbWf/NhD7Bf53bgugJT5nkajMVQLlGiE8RxVbnJ1trChYRRKwVLLhem8qLTd8DZJ78rBad
3I2+bnYNJTI6eF+jOrYSFbwitOuNXW1N845XEWNzbwFaMc0bBhKc3bkab0njNpHCmok4Ii23HlhD
NtuJlIZXuBP4AspD1VbrrDEoD0G4l+0Y5DjuPHXTVtNeOUregym2uWGkzzxsgKRv6DB+GIl7eC6I
KX81yYsAzlWnkcBRS0514f426jl/DJhKbCiBFBxyI9yntEjAnEPxxtiQxBNoJtvMb+sTWsP+7MTQ
gyyrfEQZUzyMc1/XG98AB1dPii3ehAqxqU9zqJ/oLGBYGGHY/XTXdqCixd/OlIunAgvTzpz66saH
rs220akiqOrlczPShyjDSg/J3IQfHqNuNIjAD+9Hw1PvyYjXHZeqNm9DHaDLJ+jDONNE86e0WZsP
7TqQQ3O9vAi7fMoNiaKWEymJmD19ZLCDX7yAh8qZhLNn1OickqIaUeWQ/Yru9zcp28H7MhfWLpRo
MFkQJv17u3S7fMlguaaE2hZyuhmd1L0ri67cC2K+2JsmcXNsE6c4NfiYr2wAAOvbA0Nrv2YhYU/9
KcwLmiJHh9HgNN1TNzTJnZjc5liIStywOZxvS8ziR/KIXTz0qXXLiCV/VXWav/GNlod5HsTN0Czl
cahr5k/YPT9k0gNGj9HFnrNWLPfK7cdL1XP0VRk96yaWgf+o874qN4aBacBgQ32FXCwQvJseuwse
iWM5t7GxkUGWnWtGm3dDMIBtbEX2fe5MqmK8AuZVFmN27dNCPZG6Nn3DJybPoiAfwWDL/oY5OH9p
R6+/IUECG9k8+DkAa3+x91aVVveuGcYnDKPTAbtZsjXzMNi3anQ/kXmqA1hU/X3OaauSkGCGQlZM
gOIrRTHzq4HsuCl0ZzjuyckO5Y0mrDGKQ7EhC2j4NdSTTfw3QCszAYlMqkODuLSjfslqf2+nkPiX
2VM/qbaGG1NNGco5nUVe7UwPeeOyPIA8cWzaQTzEetKvQ5MtH25sjQ9ckPhubuTwHW2YFY3OVG15
TvptU805GxYnP0gn90jsGJriGehBeeBr52kxVre/X8hfTJf7w8JAt4N6SfA3LjUy2au2J+VrrG1A
82SC5faY0oS79udip6HBYCAeuJU1KTHUggwVxmsaV/dy7MNbu7GTV3Q85YH1jdozDzXGDa2QefWy
wryGfRHeGk1lPxDtN3BQAFW7NI1VHsJyvivVIBmw86CehyFxtgvTHLD2Uz+fMgKiz7JhXJgEHtEG
A8lcgyJjxBe8auqyvjE8Nz/bpId9I7fctSOzNwDyK09/pPkEfZ6ErTbbDF2eHzvdqZ8FQt/ZzEl5
mYtwF0Np+5HTK57Kzi0PCqzIk9Xm3WMCdPwW/TksayapzPPQez939RDezq6/XMdOGu+yGUxONGt6
LLNGJRueHv9ST5P+xYAQtneRKJcMEHc6G0k1HuLOAvvRt+LM1LBGJ6fUy+S63f3s6nhL2bocRDan
D5xs8s0Lh+Zn0Nf+p86Kvtx4fZfAfUh+TaTgra0qOKpeghcJhhsN9X4Lh6KPyJMjdyc0OuMUAGMn
d7wrx3eymix8PvYkmBYsRn5eqXEv4Fr6XePL5oSNmYx218uLTxIoEDKHo/oe4DHwdk6TVD9FkgSH
Ws3xdbDi4GYMAOGjI29PaRgcod4xeqA35jwpnb687cEx3+VB1V0Li9CsAVARLDyjv8a9QcCYU7i3
U+mPGwNX0HfsxN7Gljivow6pBXIVMQ0PMumCy0JQ1W+T9JZhEw4Zx3XINSa8rDee0tRF1JnBF5sL
wHwbtvbkxPDShr21LDFUDTNomGvU4hZiAAxUqNrbIig1xqnYDQ4+qYHrPTFlIrJDhO+VhSBybvzg
vTAX0AqZeHeGrrkaSe1+CxIMNpY5C3TnocNrUNv3eJ3NiG7tun6BZ0VE62HpUeDrOltlK/Z1CHqy
BG1Sdtq0RneZ2OLZD3pSWXwSrZVq3IPh5TXcLY80SG91cRSktBmNkCe9mN0D23DngxkNmUE4JJbt
MI3hN8vN5b5Wnb030xaYa5ynTlQR9XRfxIpu3R7nkJBBlt9opRpsDuISxO20moEc86pM69qz/TqH
vR3srMxQv1OSq3rm7VN4jHvlH32i0iB/djqqY93dy6WU4OSkOrLdso8ze/WIztyIpmkJl0PMAOo7
tYD9NONK08RrsIQhSXV4q9Bt7WNSZlxV+jsjDx+EzWSbz2di96BO6Y42rzzCSPs8ZQzSGievtjuy
uByvjTm01fKRybZSm4594Nke5q3bcLxB42EckzjdvsoL9z6mNt1bAJxuBsZg+X4KWj/fCqiieTTz
Er4V9JLbTrUvmFCru3EaHRnFi+kcOO/qPd4jlpA94wgjs/yjzaTozrcYjDLVzd4o0LwuQjZCAaLj
4yDzmKimAimFbyGHObllghGqMcp7xhgjEmVnxgLkm2Q61mOnQRgW06PXtoRcLBh3PFPXdz2TFp4T
4bXcHKH/i8I33cHWtDEO8loByUExTU7VXLNbMKdvo1kmz2bRlM+OTQ1IpsPiYGpQ6k4WfXizFCuy
OXHjE5KEodokZk4Xj8JPsfMf41M2jO2ynRORn/M+DBUOJCsbKDHD5lgpO+l+iyr3sXHBidEWIhl6
00s80vXPrDPId0jVg2d04uo4rb4NVWttQ7wnUZ+o+ZzWiGwTCv/XxQtucsd7SjxWYIOd3daZS+aS
cM5V4Vs/EBvaG+SjZUS+FboU8iBeLZycJw1MFLVuKrZqYNQlxfLepshKfOMhkJA8QgZp23KxGJkq
hqVNX08HE693VKBGm2kRbrLSqnYo45/5WnBL6sCJQpL9tqKkuCHMhvFtJq6oVt5YhLO+HQmySIqi
3BZF0LI8L7kw1RSyzGDAFwghN43v1OckVWJfD8E+TWp9RsF4l2LufhFtXRZRMGNpMRGh7y20q9Fi
zEsUF4PYLo1GRg5A3MeguFmyXLxpsKaHnHRA9lXBIYxd/2720iKSXl1cUaUV7wYEDtt346eq77yj
NGJ9du3OJGCozLZjgux+CVqOOYyxp0z6wV53/RLJjhmNdtD7y6ZPbmuj5GQvcn3nmnw42D7EB5IL
6ynZ9pEnWdf8R8f8/xF2/r0txSAsEHXiIfb+TolJY0eX2RBkpxzoFSXcjP6rXQLe0i7bxW9k6dGR
UkthfxsYK/73H05vLf80HqIbR1SKGDjAN2P9dWa1ZHXr6UVmJ2tG8bfk4JsY8KR3KKqKx//+o/6m
0nXpZwL+u3a/ge/+ZTyWqSz30OLzo9gG1jueEQLHap00v//7z/mbxT7kBzlANBk4IO30/sr4KRqN
FbHwk9MgY71PgUWdvOFLfZf1rA0KJGRjmJoZX3r1Lv2EjnpaGN6DSV2b6zjlt/v6lf5vfvSP8yP8
7//x7f19ftTUwHfe/zw7+voz/5odMTj648v3Ay/XNK3QxSL0b/eQ5aGCR/stPLBgvPeYqPzbPRT+
Aa+ff4Tx3XUZevLM/Wuk5Dh/YGTBgo8A3l3D7a3/jZuIzKs/P0Cm6+FpXylvAtgyNqb1rv+PCbVc
mgIFpmZbIWVoRaVRIRubUlaqrvIKffQBZxBYWCQM6TeZkFfUxUZUZkn6q4tJlWOCgQ8pCsxUzaj9
VIXWsPO9j4X5544lzhptXEl9aVTRlt+zxVGXplvMX7lIZjQjAzknGxPS+ipkxbhyIJepefZ7nHSn
ToXjeJ5F1k7XlrfkLiX2mQ7aLgkh0x66KR7VyBrifuNq4wLEQ2boxQPEY3m92Ful2x/jYJMla6fs
qcaZlkxDNvpNhM1A1vkKRwkDHpod0x83jRwvza7QiaYThaZ/NAAknsamyuWGNm1+GJVxsPPB3jZ2
iJhkhvJqYO6PqoRIx43WS/59djsZiYE0qEHPlzS0aMdxF7aWtUU5HvfboSlzGi1ftC61XL3qOcBp
dRwccbHgf0f6ix5rGaz7zM7cM1vN7h7pYO7dTJbvfnBFWDt3YR63T4Bbl1PfYsRybvw2mYtdjsdc
OhOSpkMbyBTl4WxPV/Y36NZKOCTassx679HrjYjRnTTtxREoK+m/aDILOQ7+DQOgGks76juAowyB
0mLI03EDKgb1LVGehRWO1N1ARyEkzBbs7uJEsoXvS9YtnKyjsK3HriP7uETqOP8KCfjOP6EUdJ/A
XOg6bu0a9pv1za9ia+/h1WyQEvqx/yrRrK19J4lXSPqIt60HyYVqixhITUn4eubATdi1ZfFgWU27
MzOCL4ngmu46cOcbM8tybsu5aLZaFpCdmP2c8Xc36BDNZY8QrDgU6OStTM6PvTc4CFWM0t5mITU5
GY99cg6C3sfYJrjakU0o5ZFJzUheBzifE4yodk+Z2703tiw/7F5ZgkOWje6mVeuAJ4iDcpOw6hYw
wUOLnU0/bRyRlNQUWW4dnXr4kebO2EdL47j3K7bVpT6QCcRBx7xJcqfaV7NrHEZBPKTPj7syXpMH
a7HmhxrBMeSbIsgJLox9aAzBNGwK2yxuqBHVtJkYEW6DwqtPI+KI26yP8dYi23MuXpAv55oydwPu
msZnSN/5HXOmnJW1H8rk1ks7Ct/B8S6m73ev6VzEP9I2DUFYLuNB5sLZFeSPngfLl895t9wip3Uf
1jv7jkEjlmdTED+prOuCXnHDKqMn35k8sYC0VlKOhTQ/G4C8d41bJK+JzJabVjmwK8eiPHalt7ro
veSQ52NxiLMOeqeS3S97gtSJYjT8ljgGc00R2BeWUy+Lbd7VIleRb8TepVhGl9Mec3yed9N3V7F7
3+REB17mTNhvaL6ZtQx6aTgfSxMTMrIlBjSd+DT8gDVhz9XYFwsRtkNffuDxDKM2Y7S2+ntVuClG
z/kmxUTMve2PzYcT6OTJzZ3EZIDduj/7ipSJOuw6/g5pnJiL2bimpbFBSlGeJtNrzjA80CTleY5e
P8cjVyfBET8eigzEZcEGE0W+792EpGJ/6LMbK0yHJ/q8Iiq5Pk9AIh64rZvHwNa4BVIjcos4PBps
LAmyZuN7DloDNQ6bpeAXCZnpfVgG2XGMm/qXn5kh+ab4Yjaywu+0042DEte0ULPlj33VBictxnlb
cHd/s5BIVnRi2qaFF3E09ctzYBJOrGc38Te+r7LbvBx5sw+m+EFKKtiydDC282Q5+XY2PffNDaZw
Kyy5PDYzEcyO307fixQYmivy5mqXkvyI0Z8/UJmOu9EW/WeCZpbiXaEdLtPuMDu2eLXrBVCLlYV3
I/K3e00w294qk/7eblt5A3rU/Ea/tRQMdchS2DdNl+wIczPfAyBjW4cUmUeUEk0faRqJKM0HY+PQ
lHwSaW8e67H23wQoKYMcjTbcLbxyorTXo7dB+jBt64Y3fzCt5tNg9K62WhJC7Q1Bp2XZz4liqhdM
bnpuwlbeKxIDt70yR65smOrfpIj230DDqjxSdoyDxNSQF1JrzWSclbexWJqeFlLhh8ix1W88Q2JH
yRoid7GbK3zuPELB1F6WupkeSkJ7Gd6EVzWCkd74OktjxAlGcU1NS20tW+U/ym5EvQEf8OrLQH8z
J6tjPoUB5tFBZHwcAyZmzRxnTERiZ009zcy7dpTF94rZyXe0Qe19jXgfyUWc3QywZjYpG4NnqyXu
F8p5fiBAXO9ijZuY/qZLtw6flsEIrWh/qsuFKODEH54d/H16kzldvTUYzERg6FDamKl5r9hCiJ0f
xM25Ju6tj6pi0mTH66rAa4vCIYBfy3Xsp1dn9qFJ/D/2zmM7bizNuq/S659DCxceg54ACEcGPUWK
mmBRJuHdhbvA0/8bzFRVSqpWVs5zVF3VIiMYAVx85px9ptQ5LKqie867eL0QmXA+k0Cha2ET19lt
MmCbdXLdf15Wuz/q1sqD3sOstwnV+mzPcNE5IwdtH/GNSESMtkQ9n8ReZpGqq85QKuSeET4Yjn+K
4//KB2qycPpVcXz9dXr98n1t/PuPfKuNBbUxdkT8n56DJOhPLlA6n38XwwbFMP5Il/N5Q/xtBvxv
+1V8pFSwyIE9ymfsf87fKYbZ5/5QDDvsVnkZtqwmWL+fWrx0sNQEKtG8cuPeRZJk2ZySQpPIrkvs
D0Aluki1zQWNaCeCRnTTTl9hr85wAA+j0Xdn1M+j8YHs3eK6cUuZXnaKJ3potLA3opGb6wlkyPRh
KCoZDQlMqLRdDBX6k0e4cAv0KGImUE+HEXjP/Yg6+KWe4ulmlX5MOicZsDz3V+muQccsb59VVnF0
MVSEI96rMXDhLR0cn7cYtMA0CsyqDSe0tiBRspbFJX9AsW880nquJGsWuf4Jcxeq7XIpii8do7ab
LLGnipVLpW4IjGfQ3OFz0iOsQRvmGrqTe2oWaVFSCUgph55qXEfLaLfGpiBbWO7ZhK4nZGrmUVUt
imUpb7AhTHvFutd0yDjuDK9t7nwrT+5X3Oo3XcnoInfLIZpTtNFhjJnykM/SPVZ+WXdhbjX4jjKF
XkiS7sxJY0k1tFdmYbwf2nZw15YNpN4M3TEWdjYeqthITPfACGJLNJOZvuqRyitZ62FRe+radNcK
yjJHv3ayetGMPCQJT2XNAfCMQGxEp6VWque+La3evJ/QzQWSHoqxkJ3Fk7ouQBX5W2x9Jn2mLoms
9i0LO9BkJrvnJIRmksfUR4u252ks+jm0YQFS7VMauMO5x+ILy4XFLQF0eANEfGnItIzJmeun7cJB
R7YyQGQVpvKZgVzlIFS7GIZxbIlvQ041mDKQfT/Na4X3xJh78SGhkTHWF5VBB5ZfkFgOVRXYxbqW
8d0/B95/eeD5vzS+X3+d/+f4WrXM3yRDn3+D94wNA8n/8NoP//v/NFd/5yCkEIQMvKH1/pgHuMY7
G4UH5gaGaMwQtuPw2zzAfkf2F3ELtP1vnBG6+G/zAOMdhDz+ORozseUl/S3r+48zLlQl/CJK3e1I
9bDBfz8NsDRHoQPg8iu2htgEpBcYTvL0p6fAfxgY8pD4bmb39iJEtWLx5+/8CcQ+NJPW+j5ab9ZF
XaDcfo1Sd3JDVqXD74Or/zN99EfP+/ZSUN+Z1lk6LNofic1NRfEFymwlPCIbgqzM6JgMMwbgQcFb
QlM6EuaqYWKxLbTQSCJ+/Zf+9HFuAAPwp67YEjNQDn3/cRolY9DZMViZ1POjUbnPHnudX7/E9iv+
PAD1tpewmS75zJHAwfxAoZVSg5wVi+5oi/lR2eYT3SdxNAa5xqj5uUr/xXH4D98cKV8/vxx+Skg4
GBhpiPRtnPSncZGZdCyN6HmOaBOQahaVaJGGw5Ip7Li6KCfrvRXPHerypBt0iv8mr4Ku9FcZVIXk
mdc3MQWtkQgf2hPDg3EGfhJOzeR3Ib6yBPQy4406MDrRbl2GH8jcx1mYV+YnSHmHZOoHNpMe6h05
6MbT0vvtJiAZq6hALHmddiN9SFqY0agv6mlhUnKmwZzhKxou2c8WKSWPDuuaZ6wJDe4rVAZxgkfN
HhBHOzbDr8mSFWZARukjFs8gqfw4YrUKo0q3u/00ruuJzdPVmGsTiQjVb5Zb3jeZ9ZnByt0g2QfM
pOhetLr6mLCO5yVyB8cRvxMX3hoV7dodis5mgV0Loqjz+Svddndy0ViSxqExkWC6YRnYlOZmdq6V
MrctrhNf8Ex7cvGfX+RpNoSU1+0GkftKX+A/qrrPokXkOVKiLnkcHAuLvleEuj8lkdskrDvmeCJX
tYx3ua7SK6Yw4ZjGgQ5NYb600RwVO1ofIGvJvCQ+upp8VPuscf3Hzp28KKX4Cg0vc8/tW8B43QoG
OLWS0nlv1a72nBaTvEFOz+/xlDIeSaBiUiSz8UgViSxcygHWIfyJy7jq5FWD3RMbC95zVi5cIlWX
33YNyul8rsVuWkZjP2Wl/mQ1GPaWiQmVlmbG+AL7sxMJ+Bxx1sgKfcxSGsg6a0QQs9eM0g6ecTBn
wj+tmozPGIvkXbvS7FSyPwP0M19YCA6P1miSlqSl4koo0yGml2sBy3S2H4daHerKfElp8RkzZmOy
z11THa0+8+90J8kPGNDk1Zpoze1YLpHRj8sVKiDYkLBy9L2cMc81jp3AoHRa3JbKxvziW+Mly0v8
CJDkbjO338cx0mD29i5cSJGgOyjSEz/2rKbkwqrirc6c7/BJEi9FEaZNOYS4Ckcam6EiyNKJdnpM
5jstnsXBMIENCb0tj0tFtqjd9t3lAoMXwWliNzfVwnODK5phc6DFiX5nxt3y2rN/DUtumvOU5Nrl
kDjGwVR+ilMJHl2UE9CwZ5PsRp3e8WpJYTbcLwh0wgZr2T5u0+VCaV784hUDoRReAj89judLxbgj
dJuRZg1V26GfdFyIRaUFhqWji4hHFeJxpPF1yvkCNYk4KwJ59nHu+GjJm5w+Ee+N46avZmw++2Jd
EEsP+n2mFv1oTCberfhMMnDyUDQ6/EqXT9okN3ewGpbuMYTP1dKGKMbnEHWe2ETX+ZXWd+0dbWUZ
1d36JcOf7AWpXiyBFyfTKYZBBH1av1PLuB8UwfTE1uZB47cwl9CGs913uvdSaG7F8TRrMJZlsx/Z
6L/2Ez6BJm0dmJH7rk3MR9tu/bAWBUK02p3621FrzVfObe+UVbN5wDPIvnJi6JymI9+QDfDxOi6L
AYFQDBajEV555kBa2Wj51MWG/SKbuQ/gqmjBTDcdlm1sMF9IzzTxh5QHQFBNDCqDZLP6lMA4r/vK
O5WT8b6okCUZsajDhA2uJT0mH0yao7jQvKskLkj/8PNw7fqdOxrW66hjnssBgN20Vl/5gV1y73Ek
ODfZkquz7+BLciqDiHUvKyLCaOYPjZpNhn6SV9bZ+i9h6XADgZ1V29RXK5/F3Ok05Kt1Z665wy6W
HYMoq7wPiOA0D26ZDjuHFTn3iaO+0DBoG6aLlh4qQ8EC/8lOSU5ZfAQeYSfLEbcXRv+cDd2u9Dqa
rtW1zjj45i4w23W6qXpPOyKfdcKucz+TmZYMweTzvXexnZ+83HNJWVLiUNtZtZMGVAB3WrIjISkb
gMVPychtmsuG0LejPdj2jZORpJdqSfLRs3dVAoOjXFI+/ilV7wUnF1ZIVGJ8SOWjiUU8tHWBfkkD
WfVgdc7OIZbtGfCM9VFNTnrt4HR/7mszAhM8Z0HeSnk9inbYFxUpPgOW6qNVlHDAHC4yHp6/1bie
GYlKPKJJ3J94Ps6nKTc5MzokKs7lIEgOgH5Q9uPvdcU/K7+/WvmZYqsS/1UV/bTy24r8q68q+9x8
X+G//di3yYZuMpiwwFSB6mNH9+fJhs5uj1U1gnKDLR5Zc/+q8qFYsQw0Xd+jOiMnbwNPfRt0iHem
sYXLsH12dfJ5/5aQ3P6hLgVrxcvbVHGkLlGGWz8UjdjJynVO6vwsDTKhXy1WEhsYxx0sSGm+VnM6
zzzIFvKwmr7STo2Bm16G9CH1sZkz/YAQBEIripoq1PQW3ky+TOulgpz5lbvUjTLHdeTaHWseK2xJ
oPXMi/WAcGH1gFyylDOY8pcob3lELTBY7B2Nap76N3qmDe7d1IyTMHetM4AKeADGE6NcmFFBv5SY
ObNlO+JRnsu00evqIvM26qzn8oiZGPqvTP3g9aj07EBBbb2HFIhTM+eh7pngi0RlDZSj6K0qBK7I
3cXOQzFe6s9Z5w5Yhup28gy87zpZ6ZcZxJZxt+rd51Tr5d7t2uUW53QNlHSZc36UwMT1Y1sjErp6
u6r+uQH/+gZ06Cp+fQO+NLL44fbbfuhbgy3eUY4Sm+1hliAE9U9oexeIHHoRa8tofFut0zH+u8nW
t5uCbQjPBaLIOAa+Ndk6UDrfBGkGdsD2N1b+30Db/9T/vuk7kMzQMNAG/9iyiQmYhq4nzWnykO0z
kkrsG1PO7fVbSMqfPpr/0LH91B7yWp4PIowJgcXQ4YeGfmLUtFIF1SfXnMX1Oi3imie8/7TwCZwR
oPt/0fH+KAbybE47ZrFA+Mj++ymPUmq0Wa2n83qVKNi76fCuGBuu4npQlnmqhxiNo6k88Tg7AMx+
/cf+1JzabO5JHMG17MAO/DGbotP0XjU9hdcqh+ELxGJOnlJMWMDFqu4huftPsaH/1Z/8Hz5izH1Q
7cg94FrbLps/t8RDz9Z39lyk+ZVQtwUVzZeprjIka5lUt4m+/O0XZBK0PV14RZp+RCDfv2Cua6o1
eulTl8TNpbs5BcitRm3hmdpHM56cl19/rD/nywK/3YYLzJ/4cFGJfP+CSy+YcsdqOo6NIlprdOLe
uFlXtl+BN1sw6pYxE9deSRq4uxTiHs18/VS3IKAxBhdrzaaod++HxTAIgpnscQqwDoBHAg/9YTG8
v7gKbPen6wC3pTC49xlV+D+nlNfo65K8Gsaj7aLxwEts2PFln5R6t0+azXbQ4Vi/EE26lEnQDzZu
xjpZ7gEFyaOhY9O4yHgwnNAB2q+J2UsnwH/MtdTHRnNZrZ64VllapReTDodoh31EXFcGT6KwK+xV
oHrsMUBpMgONuhirt29Bcl9r0tXkbkQTetlqi7oXg6Nu44zaNFjl1NifvMkE58ZjU007r+iM/FKa
trp1OCWciKyowj+C+tGeAdT58X0nDcklF+ediYqyXzRGJ5C5hPjKVapQ0wpWxwqNrz9Zd6peZqj4
aYmngDRBKmILGebbQSDZxyEznXp1q6Gyv/WLTnogzDpIarmBIUvq5ong6oH5zDRtZAhzutX7njmH
jwk/CxHQ+7tcSPvVk7q6b2QpDDqSuH0x00Hda9hkHu0BLE+2ZvarDXeExmjx1YvTDDzDETghAUHC
qO5HS/KXMgVk8EN2Dg11ncVPRl4UMhpZvb6WI58jWBQ+N4k3fvT50lav85/mbrVfHYaX9zhF/V2H
ZcXc47savNBXGgbfforV/e/Xaso8cAxTWobxKisUZUjebB46mz8WZgx5cv08lWuokeuZXvhunFWn
otO6aoAG6XvjbkB++4xV2n/yWs7TCBmBq3YVmj0nmGrHem3eHOtJy82PnuXsL9J/aul56H7rjCtD
Fa0WWswMLiUY3JLGpVG3I+qlOZqw7Wchd3f7othY4PNuinUbOkm+JD8FHDKiw2rRD2x/62z58C+T
BpHR9vlbarBRHxEPkhauG9Ewpn3Y1b5+/fZvhjiuw2rRc86NlbAI/ta71B2maCZYYT92PRcwWiAv
coZibo9kosfxJSYVvcXOPo9R0SnPvwdNLRC5DNRSYzCUyASuB4YurR14VWGoB3Ra8OaDmN3ztC/R
nASxqW2qmDIT+mkWgzspZmpanV70/ZBphwXcKrCSRFvgObW1XQZpQw8d1Ok4xGdj9RcMEMb8ZVq0
DpwCEpTsdkZLO7OemRYGDDXrst5AgRysqKMDzZvYGMOqZgM82XzO/SMIm3SnsgV/cA0pCChb2G1y
NUaYFoub3Ly2vW14MM1HRkSKWUijHh0cM2HaMq50MKlfW3bhhD25AB963egiph9OgCVE3LBzH+7n
tGNKMyCX/jhYBaq01OxnyBl+pi4nEBRHy8M9EZBF3VDxwvj35Jh86XqOTafK3Isa7tc10Y5+HIwQ
7yDHzRVfuNL6BuFOgs4Elt0Xn2nXHPXamGQRF7ePyW1QdeRbU4+UznXjJ7PuhzoSmvV+SAmhzmT3
Wgs3R72h2xahFyZHtnAh+gRSn7iklsLuv6SC/xJwLqt7HnNcy0Zcp9nR0UAqziuIDWTG7YtNpvhT
taQMRjAtVtvCflL3K5EzEKqpLVpLtC9LX6gSFvb8qhovecphMV5WkDXwuOk5SWwrN5a/2OYp1vvs
kLmmefJaX4cxAcIq4jHaMJytyCjA5dPzZyR7YVaejfp8ZfG/9q34WElNI8cutUbvZFYSOX0oWoYv
phQS2Zhhmp/WZLId8n2Li9Jv4zOczeQWx0GKVM1/dNO0eyoH+bpUajv9M/HEsGOMctxg18xDOOft
VmQXftMaH0ctZpBF7AbeMn92HxihFXQ303yyTUKHInPuRMh96bLfbKS392ujhmNNaDyMDeOpSr02
alSPfn2qkJhYi0GYhFbCnmUaTIoBk1PrUylM/n3LE0u+t1PwZ598b85k0HVt3OxXr8G/aSTFiNa9
L7QzW8eRj64iJmNFPPQB7A7x31aNXyE19SjnTzq4wHcIsDDi/qVRHrVIC63obM7YNQox8bV2vi93
GaxvDgurTOS19PqFZXfuXWtq8Z9kxeQ+0kqn/6KXEEsIRuB4KxySIlhicqX0UNSiRAEJDbiUa9aZ
aSOuaWI5SzvH4EzPfX7PZPBunAEeEJEIphmWpc85WI3o4JHZED2YYU/bssrR2gXKTPyzU7YZARVG
wXmPMfO4pBPn4GQnPQF2aAHOjFm1MPfIjg9yHiYAf9HY37YmL+/YMzMhd+E53khe2IxX63Vdcg78
tyPQZeQmSbVNtksfyk16C2bWq4Oxna3zPI46AykbopyEcvWlJgEDf4opuSKMtbMhq/J87EnkgFtC
uruMFngiKaYR8t8gHZmk7v7+tkRt47Pr0pxKItY0Hl+u5LTvSimPjLahB8NweKyQTO3EWuIqMGYD
jQ1atcpSV8JJYHfo0m9eZqNr4XTYE+86q1r+1nkLOYpqyfbi3uraEpsMXbLFKLlMk460idnTJ9eF
xGM5F2PRo5XDt708xFpjvzip4GBdpJafsdkosIUIK3seGSJ5nOmRF87N0jlbq+n1nIvuFhSg6Rft
mGq/DbLzD+k4+yrgPVPlZJrrPxlq5rLwSuYIYUfu8KMpOx5PidxggtK1ipV3km2faIdlEeQheiKQ
Yh5OSQbyQw1blG8UACBf01hxxZXEnlxroqNrGIxVlzorklbLGPahrHgS2mKxqeNR6c4Pjplp48Pk
KFSEAIjTJPXumVj6Do+q1odCxqOxW7L9UmRaIt7nHtVyclDzgDEHSOo9zk17l+lWjGW6rLIIGAzC
PGcxDuBBqUFcfJkXhSXTaxM6V5hp6QLvfmEyjzz7oszXli1G2t03HidLMaXaB6X52YU2sG2Z+pRH
z+JV4FIdnOI4vfbk5r0NLZ2oJroWFoR/aS19TH6SeZd4HOmmTAB/6YmI5CqqQCrVnRpQN+hKS3EP
Li5mScEhsUWTkdRTUJEMTlX8pmUWesupiY/+2lRZMHQTCSoNqgNOhd9q2f2mlcuNr6z5xHVNYTAS
vuQPrX5jV9D8Jx16LTyvI0PPbkdtHD8oZ1z2OQ/RKO/Seaegjlj6YF3hFq7v+LZ5LteqvODJB7q/
KlDMET0VepWzS/zyaiRxOjD5qG50TPPvW80ZmWEb5nUzwQ4IYblRQKruUKLuiJzp1qzEPZUf7EQE
fr8hj7QvTFQyhKVXhp8T4VC7sxV7Ry1fvyJK5wuBp5cUe9bLcxpVpGiTfo3JlEUgT2ACsPBwcoKk
2wKE5xWn4YAAZewMjGUmXvervii5SKuU0yZzJFfkOm1Ax5jQ4f52KeY8CyfK7ujXbdTWJX2/qWUQ
4YJhxbjFCOLHth+TUw7iyWyPrf1W9KNHxwq1Fb6/fp2fuh8Q+TCtmWXQ9ls0bt93a36cDmPeDCAL
aofDeAQn8dj1UoNIqkRz6Vhb6/J2HP76dX9q/XldPA54EuhMyZr9oUukJS/Reqr2qPLSeR20Sh4B
JAF6n2GxyF1T1cu946Qbq2Haqtxfv/pPm35e3SdlwOEG502gBPuuC1/6nOmJcJrjjC/aCDBKGY/e
duriaeO0HxJU4TBhJW3JVnlDnOFwf3sL/0zs/mpihzSXCfL/PbG7wWD63bTu9x/4Y1rn6e+IktzM
LvDxNocMg7w/JDGe9c5D8EeAKnPYPxSC36Z14p3v2objb6kP/MdmrPk2LPfemUzJBYY0DldgKX9r
WP5TKLkL9oTZh70NBZkq/Dj9iGcNbGZt2yduWBCz5NUUQCVgj9kWDDT00/0zXGGyDiUEEmAZ8YVX
Ui/7YAne2zXwMnJp+2dk8v1zwi3/NwduvDtD58/nDRqmQ3LR99e9P3oyZhFlnfLJggkJFuUW+W19
rt8IJx1qsIPfQpbv2wYey5++xf8wXAQN9eOZttmGiCjCRYSSxzJ/GC8iOStbZ8y6E6ltH6oOEtg4
j5l/VfiycSKntd0zapLa4WNy3Etl+dl7ATPwo1rr9Ys79h2YrnUxL5ISFWXhjOVhKOVY7CgXnDuX
6nkJoTTYp3iuhrNozXZv6a3FwGTcpooVy0R6n+omNRa6VHgFgiF/120ROjTA4whzMiAiWGM5yLQl
mHLHeGFrysaWbiBYe4/xGcX5TjbleJ+S3Q1F1qrxow8mafIJRXIacp7mIWAy/Vlj18pkxn0cMbyX
UPg6jhTA2fW1tFRCbaDNFDqNOR0XrYpJ3VzNIMcKzrrCnacOLbKThm0K2KQy1PKhxhhvBxp6nbM9
5zGTn2V49uYYgyaU3lkPWBVvYAvbc44eqPf9nBJAqnwjCzULyR+6bKO790ctv6OZykSUoyh8KRvd
iZra1WXkpcrfzWBbs/3EyBWZNrcSY1AvURtN2GHwZKXDoyA6cgdJbh5PG78liehhhnuFpTMNhTnj
yYDfSmqeKCBq1fFQUFkBKBbazkpWE6i41GeWz5lB4FTqjwFdnsXXmmvW0Z4MAz6A5cBesO0Pbr54
cJad+raopdr3SYdFZEQsG1hyQPQDBE3skZfIvRxm+3aB0XdYDY9GOTWmfaFne38AyM2d6p8Y8Ff3
KwMbZhHNmF+suZdHcFndV2Ya7XGt9HXnl+1wXDLZrPvBGBI6jtwAZoF4Uw3h1NX9AWe+wFfg4YP3
BO1zboxHb043XzYUuq/WrE83okHDEQDqqL4aVLTbmK0zAxQ8NfRm7DdZwO7LhtHqSiePuPceaL2Z
KQCbHim38xj15oOQFfDggDS6htgRBBhJSNgd8iKvHYovdZ6SELLRobf4g/lLUUzg9aYiRQ0ftCyk
9CusXzJ7RRNTtke/hkR50/dQntZxNU+YW/Lpwzb1888LfoLXlXJsBD8yKsld0WnD5zp+Q8T6Q4cg
goi6bDeMstZ2b2kqTLHqhYWXOwD0n7Q1e1hMTKhHdDfU9VpcU403Nfm0Ebi1BNKeP7O4QzqykRgW
GzJnMhf6ce0woaJNqs8ynbMW4YjZvPaNCz8XxzeXutpCTehh7/GybYchBB/UzFl9k68jhI2xAWKu
GT6vJre/bUlj+0HGK3TRzu4hbKeT1T8PmQORUGYT714lSBXfQI9ZMwOWhO/2Mk8GDCjfntopSmdu
5B2EW2KyRl2Nn/RcjvpVnkkbNA/hmyOztrZ5lT2hGVGrwVd9O8rBGfI5WZj9iO/atGaFNkwMfY31
qexNDZxCQdwVHiUVG3G5RjwJxPJqj6MkktT7PZm0YKpmcR3BdCK5pBHrPH2oE1USa6ohsHkdl4Fa
fQHbc9nI1bnuesE7RgnXaPsZNxBpJ5psD51nlDdLnTI1c5oMIG8vcnU3ZolxYzUNN1aG8+xG2iVO
ozpxGjvyFpiHqANQlCALSaszWHgXTyfvgGu3akEvsigCd9xJlQeracdjVPfS/QiFY14CPpzCD8tk
RZ7WsN7UyXsFaA920p1fGqxC16mzIHzwnLwJYk8HTmRgTi7mvvnUi+G9CdjyNPl+bh+YGM13o1Oa
ZaQVVjwdPDIwkOzAMJ0wPvpxaJHovBfYwq9Sc4o7PpmFiBzSIB6NYlROQMNuf7aZqiLLM0UKXRWb
o9Foa1jSwp0tZreXcTql59FdZU/n40Gu7bzWRoQmxaWJQfPkI4t2Ay4g7bHgObPyJ/tbFkBH20Cj
6RrMxHv0QGNjEP27DBvvs57NhdNvcnKJrhAjkJ3Y1l7FHPh9Bcvzn8LxvxJUbyvCP5UcP2ktbory
NW2q1x+Kx+2H/igeSWfE08x5YaCMoBjx6Tr+KB7FmwjDcWi6CJ9gG8j/64/i8U1pQZeyyS8M1rPf
CkcTYbZt80A1LGP7ub9VOKKl+L46EkQ1ur5B+cg7ELADfqiO5FR4tXJIprYGjQRzq9wP6TQgGh28
O5s6oDnZPk6JYEAXgQJCOqNGiJKdo4x4m6ApDoCVmX3lZ/FBA0knH3Emlpdo7TJybcFOfGQS4L7Y
q1NfpCIpL4c5NyJ/mzh1OGKrC5R6SIcKH6/alNfnvO00HCVpC/l+gRp8qBZxSOaN3LymRrsnokX6
L2CwTe+IozthENYtzodpVqN3uxi2i5Y0S8/cgShFTOQVdegnIKhep0FLP4yy7CsGbw2uixZXqXMe
bD0lJVIrK90Kucu3/Mhqhso/X8MdYpm6R8NF0GTDPonjXXEKhdx+OWmU6BxNsikr3H2oi2ukLBhs
sdb5hGawcKnia+/3kMu45POEZrJU49yFMRlHcEemifgW8Rb6N/+eAFikmU1NVSB8Rf1R5w1jn2qU
5A4GzlizQ6s9Ylzwt/mQ44LUW8FIRSB2LOLfHUKW21AmrZG6RYAytlnzL2u8LL1dhAMQIBs6BxJg
RkbWlByMQsXymhwv7aTPSE91zMQBBBnIf2iLg7xP61OqQS9NcM08FIxHMnIAdGbEjP3vRDnbe8dv
l1es04hyy7EMl2JJo6zp2QSxZTnj+jQPTW9Vp6YZxkNRT2Cwurph2z2V4xZOEsIWRFpb1U1kOmly
Y5MBhAewVJFDpEBkDdQruZM0x36FvSeruXoGNwuOp4hLL1iZpdyUufO+aKrkDs13fzunk3uHi3N6
waKjQKChQ5Ztqu64Hpr9MjUZT0YV35ZGs2D8bDUjZJ66JayReD+LzL32/SJ+SltlHlXqaDcaKUlD
wFjC30+uNM+xE5cHLdeyNRK4vpentvMY1MWl875zRP2Ap7wQZFSniQoBEZoqxADuqrBZ0GPX0nAc
qNl9tRtBWZ1mCvTDXBbJE7s189JfN8ivaO350fIFdievZXEajRAJfhMz4QsBjiACopOmrneF0azB
gngLKuXqnuRsP+aoYPt8tMiDMZV7Fky1oBXBWYYbKcfpZkwS41Io1RyZi7AVyxe+a3xV8o6KvX6S
vaoPUwy+fmZzKDqCGFiceRd809WOpB0rJKDDu1qXUt3FTp9e1JaSj4kw1w+juVbV3p+V8TlvpH6p
rTWP8q4z3Yu5VP7eytuvSOfjI4qBbod5e+UbdPMHv/DGD7DzyueFAuvZnIdsAzp4xXOHugsYAXeY
ow3ywDbP2PkkxO0JMrkE9uyEFamdB0ziy03t10RNqR4dar0UcBD4We1G5FkBkxm5Fm2Ant3Wca5Q
ArfUmg0qYa5idpyp7bEIypg3RpbWLcQmjS359hi0+VwGLMVlGiZk7bR2P180ul9HNNLGk8Ug8WbQ
5PtslQ95q7lflA2gAnHppBOFNKPMwUu35o94yqzLivXpmblkG9Bhx5GbJSff6t0r4kGYnDZj/7Di
yo5sqTefnZHcg3Zem1sz9tdP3QwYKSCbTyHQn1sM+In1PkktO3S60rA2RueCWNZPrixDjC8bHrjG
+Azcp9LDtRBipX4Hmp61yWtvptnXcqZU7qfubIzxvLOdWUXpNGJpprI/mppreIECB3eGIA/YsXDo
34bB0LjjrBRPV6e0vaS6YhMGr+yuyPu+C9tB+Lu3pffUZ1vqQJyxJUmrOVdHY1uuN7PVe7DlZvNh
GmLvUzFXjPnGbGSB4IFp2KF/X+4tLfYw3Nf262jL5tJ3Ymb2C8ll/FMdZ2AianZJtHuojGfYYO4G
FF+E1l+7pJcsQTKacyRMG2Fqn6FSr6hwgxb+zZloleYawG7BJWqD6tTV545n3r1gjH5KNPJ/+KUJ
6XtoV4HH+jC3LXXWBlpYH9nKZ6uR9m+NZn3J2s44C+TSWLc7mna2RLtOQnTIKlzPWPC9K98sijPO
ZErBfP2csoQNCNdoGGqq940uH9SGYfOETMGV0UFko5PuM0ZLBz1b/btOyGanOQa2cKuf+2Oipddl
MSXkW2Ux0RlSIP+zrUOe2Pqe+/1zvtbefWcwRE8pFB8TNmqBSGV7MecFymHmtuWV3WBFILJoumpq
nXjBWS1siyt4ikixmjuu3IpZvz/fZpBuv3Sq15Bjt6Kk7LG8p8SJrQveIR4CcACkcbR0i2VhV7dV
rNn70liak6gHMIZMksjw0bOzJrHjO3XdHIZRjZE1quEFazw7KK+BnuUWH4defMq7toAUZazniS3y
GDj9nN5aHq6cmrSZSFWpEeII7X8T5lTsRrGMDzke/h1uFca0CZMPttVEhUgtfgAS1l8z/BkOs2+S
Q9bDfcAvYApYoz57fowqHlKJVDvN4yUY3zS06/mT1Mnv6xQ5JsnsFV8qVkk7SHZ8r573MfXKrxLA
3QldgBvqbrHlLvB/AcTyiQ+ynSNeLf2k56UVETps7FkhkhrdavlnPyeuYihT7TDYgAetPi7v8qGE
oggweI99tjshCoHqjuXoaMJg3LuKyksjkOpQGOl0mVUNg/5SkSA3CE2L9GUdQuyy0850+/rzYM9Z
yHt/xPYhwnFJneM8mazQ7P/P3pltN45cWftV+gWQC0MEArgFCZKSKErUlKm8wcpBiXmeAnj6/0Pa
5b+qe7nbvvedXVWixAmIs8/e375fBZ6IimUHIrJvH2pL/mjN5jqOrA+rtMqYFtcjl2gDroxBz58A
hpEQKEnzlRNGAYEhN+uLarqrMllk9u1xnUvQN6TiN82AvuIhv4WsHB8IIHtBi68pcNPKpqcDpwTt
OodIFPdOaRhPfg+itHBH/wTQNAYiXl4pcHxcujQ5DKWZBmttkMQvlqs/jdaezqviyAa/3g9rU+1F
XHuBTEY88LQLchFWzoMxaKprfEO9YG6hqisjZuBL6wNGmxHKhQxXWoKUs9NGciPLE+4Hznidbcv/
kZZLy0aVjx/kxZNLfhpKHGwLfwCLMskRRc5vxhtd4lfLqtgI4nT1bsthuRap3DoeX/8zS/1rs5T8
322zD90H55e/TlK/f+QPzzo4KgyFPqA6XwH5tplW/pikbPFp85FSBoO3kh3Ln0yz7icb2xM/p0xQ
LxyL/jFNCRR6JA6M7CjDsBpN/98xzSLd/3WawqCy7c4Quk0bzZNtwV+V7rwf13we/fQxyxFp/J0D
h7OlFSt3H/yoEeIq3JbyYJJl4PiiyGfVwIE7dUGMw3TSlxardxMoaDab6yMfnCeuRFvMW+IYyk3K
U8joNVOVn9A+zPlxKFrzZ2k2M/ImF4fU23VW4nEFH62a5pY6sXNvoixNxGFJJ8ftVnLxy8EKQUyq
b73vxrbk0q4X36pctEFdxyvjBWFBWCnRMV7rde/4hfmQ5ymaYOW448iA03GFgbTZUXvhCONVmcZ3
DyQAjgOiiRV7D4g9IGpT7PJnTd3LjeJL9nXepCqkcd8NuspNnjq6HICQ1Hp5JLAY+dCZ5rILnYZn
jCK+Dqhi1EPtsd6AKGBGpHdkQznO7vcUn/1rT1olu0jq5ffA89VDyhV9BtWjk5SIz1apjI0GO5Wv
/SnozSFdnpUcsB7xTixfooXLgcGZDUawjuJnJThzBX29MHMt/Pk3qRsld+us9Re2vNyiXaHNm5i6
nJDGS5I/NE6AJ1IDo0uggI59XjpOlzF0FU4Uaipvjb4ysXpJuC+7Mlo9eH+zGgOnEHwkoGAj5Cid
ECzOkHY6Im1qeUeIb8nedXyydjYCq977RaL3qTk6SIQciSCfJb9UV2CJidP81KdiPMyx4+5lm46g
uxJ1bVeUfqxpeby3l4Fzmlt2t0sNTtIsW+tqSJ8mpKnE9iEUlbJdJ92fM1y1vUaCuKASrE2QLDXt
4kG8IDkf2spoziCFsuXerEZTNbdEkWav4fJb9R5k1qwEU4oMXDWPIm+RDNYqtURgOukSV8ypLLCD
seyxr0Q5QPQATdXz4BlYdGLuy5VX7zr2Me/Vak3qGQ8JWE5laL95w12jCLXWQJyWhENh0JloMTtH
a9Xv6aWF1cuU3OHIaYC9la2iKCYrVK64iy+lcZ4kZkuCf5ojoOGl56kCce9G1fyNUkjATjmmQcYb
Os9uKE/HD9FTBgBonU7c5LRkTIonYiqFFQywgQGSEakcTqBZ1aGK0/SRvB+H7KSdEtTTLir5Zkee
inBLLumwBymBMauJmmk6r2sK2dU2BNHEhHdz30wb4Yzi1m4NMmaW+BFTYkrvJDcxda/XEvmhl+ax
y9W4T+D3L3zihDHtMsXhvDBUCqCa8mzgDVHBlGOZbrcvC2/+Yqc9Zy8Q9IQ0zR7325CtV1YwP4zV
r/hOAa8D0wHkRl6G2unZO7RUux3icam/aGr9ROAtY/KycjqrjyJquurIP8QARehmGE5ciZZnIsq6
vrGlizEBud92j4WZ2FTYZJFz49RN9wuczqscMc44qezX5ym3p+Y054lVYwhe9N5rDLTPvjfvV0Bg
V0HRMZOq8DPqZWKuZpKiHgh6bXZctePdZlRs5TByDK3P2prZiTl9te75TfnRo8QzLKw44ijOe1Uf
KNXN9vYqnKsB354E9JjQDupn9l3tVn7oeJnhh0babOWaCb3pzQpqzXQKm/c5F3H2vWtV9i0zB+PV
6YrpnbPt1LGAE4LvmtA0WGarE5YW0+lNF8diVzh4lEIwZXF3x38gRqY2lPqA3XCzxIHrrdgZoOBJ
MjuLULIxg2wp2EBpJoCd3bukTqXbxVhQWQmcjLZz6jAayplkYE0bJBWuVTMC1Kqi4sVaCFlD1fgs
+AgDDOg1iq9Pbd3J9WZ1pcDL2sdDtOwHOyGzDd7ODCkyohnboK9oRxxSP1VRLy404mFzR6Eorfu5
q+v7dVjd7Oi1tfOlHfSXWOuJkm83xUllpYguuE/NAQsYnLDxHtoKYY3F6p8wzGTM1dy/4qul8YFh
2xbFsi6n0gFLLjl3EumNbtueq8ZFeLl1+M956l85T8HZsP5XU8NzPQ7Jf+2+sRtO/0oA/fuP/hFG
8j5JHkphi8GS82fgh+d84kQjzT8J0X/o0/KTjYeFWDYwDuoLEaL/oVFDQ4LOIRWDkIXqTUjw34ki
+Zs/4M+uJEwUpjQ5n5GJJfpo/rdTFcxvdrG09J40kukc+qAT5l1VpZj9CM8dIHGLkcVS5l391MHI
Z6cV9V+urvdTkXg03+EefMmi1PmMcrU81q5dPU+9G30ljoQrE3tuc1LzKk9Nt/XRQpSQd6mBQQ0k
O9fKWXML3SOPkwhOUNOBlBeM5rlVGzSfCencjmtbtGFLB9QKOHqZrV3OF5vCBATtX32JAhMofxGH
nGLSh4Tl2GMOkhj8vZ6M0GwN55ZrIqtadgEVKCQnsROcHD0NY/UC5Q1KQLMbbC6tY+k4t/NK8MPX
qVmFumindwphlb/Hjjh88Fss9vuiwnUAML93kBHblAoXJq3wt6mZha5Low37VRBCxixPKSW2KnRW
s/yV8oafcNES6KAFIMb4mUY/V1dSipNbc/+5WQ0ka+BC/WeBKPa5ms38yc+pBaNNPnmYx6h6aTAs
PAw9YLY7gG2xRAAgrgIFU3lbB2dhRdzH2hrWY9J4V53zd7VuwwuZWVFEIzZNdzoQmVa0tqx0Ccae
9xgVNK8F6KWmtY98gNeciub6oID2Q71SN7opm4fcav1HCfYG7V/48tTz+h0m1rVnyumYZJNkPicj
Y7H+bdYFBFc/W1brXQ0SD5eMPTaub08CW6FUuIw66yXCjXKTopPeQuYWN5g86oe8ayfjeRXlEroq
s7ioz/OOjttR7FPGgv4EQWrgOYPedKq0/Q78qH3vWNt9bsyFm7+PSZeO9RhLu2WUXtgNyYA5dV78
q+YIA6JV+M92l8ZX7awYNnyN+ryTIAXsSPc9NlZuIvshMeZv3krVdt5b/rlpHBVDEze54+usoupT
tcNKUe9iL8c0Go2zHW0VkzN+hNAxtVdBKHd8oJKJzCXGiLkZnzAsSMQr8AqPFGBbTmB1rvtaWYu4
TxCF5njHyRVxCFRkvSJBwjh0jjHAA/IARpbNzRIYvBCYoWVae+/4OzePis++A/KAE/H+bNYT6s3H
dg6JAtIQ1FkrXgZM6cZwO7jNaN4UGGPSzwRv/eGWJZhkC8LH54uKYuMZxbTnUBzdq7JEJZmG/nPS
lhcKTOJzMZap/yNj/pjswHbKWhi39BIpMKWwv16lgy8jXQlXmNzjwojYzMGkiSgYHGpEgSjObymC
397wk/oe200b9s3wlI0WG42isdnxZrblYR1J5jfXpeLxxNfbeKGsOUJP6VjWjNIpG4w9VrNPM7IX
bq7ZKQ2krH7Kir/htJgpFOFptMf9Mmh9Z5BKuYFVKfeLXz3Vq3ce0IdxSFk9umOtb+c0G0MFKisU
A0djHARHzlTGT7lypSmiDjj9eiSkCAUx5eCywBi7sIB4HtYenEo8b74R+WZ1HevykbFtXcb6Aef1
E5hlO5i6lbetB6URC6pApgJ11WtcFJyKaotMVndm1fQf2aIu5mpH78T755PGuf5c4Tp9yKa6Z+ND
ZkAAeXyEb+xQZsmJZ06T5Sjc9ZK2HhwCHLm7hDryw2KxGdEGP2XlVH6AWqkbKi7W9zpCLl8K9bA2
3f0w5xFuh2TaQfLojm3ElJy5hnmPljk/uD17Hw6331mLt0dGDC9MoyU6YKPPEFRlv6vBTp7WumYA
nCZjw9pad0uxTBhM46+bM2FPKxVpVrVUe5vGkqCgWeMzNJT5ZJbx8JqN3cAHYzaOcad/jZ1bHJck
W8Khm62XybKjr04uQcTpKIF3nomSCJ1nmzejy9L/5JRC3lV4yw8EFzBkNOzbjg1O41sPju9OG4a6
jtQOH9OVWxMkevodpUBgm9xVXZa+pf5pYhWShV6bDkhobfTmt0RNHFlGMETHBHKO136v6rxmAIdz
96VRRYk3YQIznNreoewH/1jDvXxvgM19Rvw0wmGCJllTVnxhe1jfLS295CWBlavDv7jvXW089MRg
FDkwcwczED20x+rRweSATKuH3LqVOovPfl56PgXBst0VQ0q1b247tIa1HA/3NPosgcTiT2uL5Vwc
JP2AIy91NgbD3FExFR1Vo/JbxGFKoGkpC1p2xW/4u3uWen3V7tORDYfpdE9ulNVXvQ7mxcng6HnA
YvDc8TEQ88HUdr/TViJOtk3txtQLg2lCZR8Oi8aPkVavPebdct2xaZjBHgt3ua0Ud+xdtrRyvx2N
X2tK5J8Slk8/NTn/sPFbQsaR/dXwx19pWsVfcHJCB1kA8fVCvtJ7atzzncp3tpOTQLK4zq1LG73C
RD5qJ/saueMPz27lca3FEKwRi2rm3i+Ujfp0lNb2XqnuW1uCYJkc84badpyDlt18xCBAgzwzsMF7
TnaasK3XO3tdRAjRzHoky9mFjKf5tbLcSxXjWCqxFIblYKNR22ghw25OupnKXqtcL/EyRCG0gJ+w
sF+oPOIoxfmCwngaUJ0JsrYF12mrvW8Rfri45rLdDjOttxsEphTNXS5Mqij9Zuf5i2G77GTn1vwK
liA91amnPkguPQE8+AUZKaChiOCjod6rwjIRxkmx6NxUt/4SrbCXRpbMDoChmGqa1R9v5yqPuHY2
TQjrgCEunmB666W8cabmRi6IyJlrvabzkp8LPvNI1a51sLreB2U+4EY0s2M3Fc1tPehnsSY9xeNJ
xRp5o0Nl68+B8+ducMb6mTmfDARCNAyj0ln2UAYn1lz1ECxVXx5A75JYMLwfUWx/scgQvJutdB7Q
qwoWipL9y8DnSv4o7dJCvBpp+IAVfQcG+bcz/0OVMw1h1s+e5GvC/r5odpCa55PXRFnQi0aEKXma
YPLc5MiJRT0RBYn3OIWyA6OkfrArFT12sGY73nSQ6seUrVqy9DSkqIaPqOXFqBza3ndWRkypyV5J
YbpPkU7GYzOnEnamXdVPY0LoL+sJNAD2lSzIA8Et/Wy0vbvv3fVtoKl2O2y2VvWAwyqmxN6/w0H2
Cy3k1NolzgHDfIjm/mFr1iMKjujQK0Av5deuoO5k7fXL3I+PjTWw5qzuOa2lOx4YcM4A4BM8MGEU
wE5w6vmaY3mAMiyZ8uF3KSHPWEa9s1u2FbnqLrAXBbbDyMv10Sbsdvefwe9fHfwYt/65m/1vg9/+
W14PfzEmbWMfP/iHMQk1XcB4lJAZ/6hw+ENON8UnE5KoQ05IKBsP0j+MSUJ+8nGt+57j+Fufyp/U
dPuT8NA0FJQB4iNMkv/O3PfboP/nuY9cPNOjaVqWa2Egl78z/38C+flmD4shao07rIvTFeGf1KXo
IN0Xax6qZuz3JomVJ6dwse3VeKQtLro0iXmcavJ6flmY29CYEF2sdvBOOZtpGURZVu2AwAEAA0ce
5kP8FDcOTKOBlj+q33dCVG/zmD/ONtfzfI7ZHbKXCyw302BfBSzzcoM/iRzRphWF/TxUtPo2jQ1v
xYnLi5in/gUVnDO2GsR+wXL00zSQmT3nFaXkl9NgBVLReF38hUMmQLVjO0tRBU42lk8pPtPbuvGg
oymMWIFuy/zIEizdZ0Wlz8vsqpuSDvsww7Z9K7rIPwz9yNUjr1eXSKJpXjqXFp9gFrS0TZrZCJm5
dRgtzGo5rcTVQuzpHLNkK89m552Q754aExajM/jWPfUJd1R0lxSWYxOJPXSjPAFC1rZedBhAZez4
wNShV1mEP+GjB2Ctdlgquh1vVnm3Ei0+KGkoVg34NKKamW4UqjloO9bVSVcQKFlHM9nkxfrcSu78
85K8Mbbar3Mp3Rst1PReWbUdJNiJWX46dXRpusU2w6KG4uXvNiSeeTdVkbM+Vx0b9zFM6ZUzfuSF
ttQa4JM31sPo9hnH8ooij50pa8EwAh2cNBrC5xM8Au/ix75phLOHT4ehfWrnY2n3wBWU1EdVVhzG
ELHpPypxmhtqMLmLpEaZDIG39s5EWieVZ5V3JhdujmKhka9MscPkc4HFh5NfjIWtgLE3Sq1j1q4N
YwJMwawgpIcxuSaoJJnCpl75u2aiLbe6VVE1uN17bUfyqVu55OfcrOvUyED7clDN5ivO9pJqu9pT
8QN+INLgB7z/5rgeBefn7czIyOe+zubYm8/GtLDZCelxKEp/Z8clBT0HaoM8hgpisrU09f2cVkvT
Hto+quCWFab1ufYafZ1xKpTBklUtq+3UIhGXGzF7CPCv0c4Y4V+GKWTitySXYNbwrnL+I+en6dAD
2sqatmVOiVsEWuxwTxXbcDpHlGyxmudN8hZBPS4vRrbY1q5Eon1Yp9klim+oOdqNbBAo8KYM9XbJ
rORUV4VBPRSYjN3sjQtu60SB0zM6/TlPC7rAZOs6X9tE0EkXl/FDS/7xwW1Tj6Nv0+wIlFLDxR+A
0mz2GyCtNUMNHf6ULiwsXFgsb4jlDGeqtbaBZoFYH1i+1UH0zKKbxHMjAuDKQJPuB7x18QAm2zKs
YSX9UCne8jUvifk6wxJYv6F5Zj9wVlLVIy7f+KiwEyfWJB/8bIpfoqLRdw1DJVX3Rrz+DYPyn3jX
/xHvchxz2+r+8xviy0dVffT9x8efl8t//6m/3w09erLhtGwm3N83tb/fCX3zE9ckBzerB3WA/iEc
tH9IoO4nyughEAsbVtnv+90/JFDxiRvktnL2PeltN8p/51Yo1P8IMWHR5S4oTAssG+BhbuJ/Bvgo
mmaNZJbVjTEh+TTHCUkkm0LqJmhtxVDhWdyglD2fBxvCYdnjDLN66n8UY8apLUUaRDLCeoiOa136
VrgvnNjz0EVE3MexC2l17lhpxK7+wvUKhPxCz/g3P66sG7sxAbX6Ep0riUVIEc7PsWqGm8np4yMJ
k3gPcKDdWXguditRouMymSZ6J94WHKW6P0hkml1ReSS/M3ZMAtfkt6rry5uRCyPlle5h7IlCmcNk
7qYsjR+oBvdO1ZIWL3ih8HEx55EwZhtff0mssT3a5D9uoVpu6gWmyu/s3Jok0GVDnUXJQua+Jqb0
mmeDd9bZaj6Nc2fvq0JdsZr493QOtnuvBJdIlBYvG2PdaVXjhAmF4SPKzO7YcSU+zSkwAyyG17qp
8ViSODpQb8H0xxj0UCn/Nq5yWh51/ghhlNN4RI+JtcxeSE6sDsa8lc/dVjwzt8LcmasQZ59epZux
X41TZKxoh7Rv3xZ91eDnbFkjslXCwmnW962bqCRsPWOruZrHFwqBRGjj4D7HUSmPorHKg906kkft
12sz2f29Sg1mrNF+cXWpfyzIz2E/436MVN5f15wBZV7c4uBCR9pjg8Rwl2bq+8h5vqmWr2aZ9ker
YQwdpxjEqu1Hb5OX1gcugO5P9rf5co+YmN3HktV/wR0i2Wk9lKFXFtM+RWM/Ma52B6AKIH7NrTiD
KOB2eoC8AFrmO5WA8y+ovf5hNSvtoV2VVcj3BkPEMvfFecmaV+w+2Sub2uWb4eKbD6pVmvdGDaLX
M5gRa2wOSZD6SRM2MVqya0cgf9FAbyPTrR4ca6rvSde+Jtg8qQh1RHvy6BO+6rqF78/e/sHG33Mn
2pTxHmg+K6sUCVadRgO+4KHrqeqhuVXk+NJGPd+iaxyyymYDturOOSSi8XY2U+MmxdnlaRnp7KxW
X1KPJdhV7gobvrODT90mkB5jxrWIzmh7LR+J0px8iaUjGav2vnPtb3XRqujcOoVO7vDafXbTTj2V
GMCIeVnGTZ+OIrKPxYACogAhzZX/A+JKm4ZxtKzcLHX/2I+2V/6gboqRm+ImrOHD+CqxLm/9AwlC
QUEIUER9FvrdaIVxUfm3c61s8mBRDxO4Yf391GijzIjgL1N8agSHmVe7mEVOeamZsynfw0qsAb/0
0usN3B0Z1UZcKHndy6lZD7T0sEvAjReZ7yvUl2FnNkZ8aRcFRZxzht12YS8X61pxlIx+ZlHb7yRG
x4ArHHdEYUByZGrnkytxrPt44wMfZlIOxGnLvpuDn32nRGkxTl41EcuSdTEbAZhryqCm37ShbTQW
9zP4a6gvgLBykrZ8UkzyTDdWMphTULWzfiQ4KH6ivg/5ERWdPTRt8kjDE8VEnNjYO/hhJXN+JRa2
zWOhTSARmF9K5PUCo7A5N+mRax971iFn3R7Yfs/uGNRqhpWYKnfKe73Frl0gY23iDHegJKW5r4HI
gxXTKoZYWbkP4FX1QQoWK6ZZTFnQSV5jhPRoeSlmz77j3N53v9tQse+W/nwE+ejeV75ob/LU53uv
ZbSX+DKHnT3SHTFadnKE3+sda/qYHiu7OK+Y3lXQWbI+62TjWDeNIpA0iIRFlae2/TI21v1Yjay6
SZpuxRdHaVTZ9l3lmGlRiRp2ce0YB2iR5rMqmix07X61dvCqjMA1qupC4Im+p0m5l8Fl/UQ8ykaR
cvw7IhlOULS0ruZaxMehQzej4HgszKDs1+VHu7TfuUd1F7aNLpH7bWFPEM0LbLM1n+PVig6QurxX
CRDpKlgac3OoCoiyqn+oBw88hbGYtxNoih8rI+vjEln7XrkxSYUsOpU81JdcWekeVo73PuFXrsEd
2c0pk62+U5So3wuJx5ky2HzfzEuGvOWgbrY1QbNYHxA7RKAHc82QkxJ8WNlEs1iGqPWIeSCDWOUf
+6JqXldVDzeLO41Hq6vWI2UkEkePxSZo7XFozAwqD4odVLbvtO3dpQ6XePpeSe91hDhmfv+z9oUM
bIvVXEwV0yMuAfqP1iQPRebHR5cnQDwlnziIUoLHpXEVXxynBakxSb/5BvxzuGfWsT5YKNQHOWBH
yIGdn9y+dT7TX9WEtl/H+wYu9wEWVwNoiKrr3Jzbt5Hv4T06d/dIWMg/Y3ulIzmBs4o0mR4ZFKdL
Dtp5B0HUPdGh9LX1RHpesHh+jthXXKLI8nmQ3uUkUG5N4x6M7rp0zEuv8ZHsUr75jzJT+ujbbvfN
UxUceDffO2i6166XGvB+6bk3JTok3qRkvbOYXb/PJG2DRpdmmIMFv0nM+HOETQyFDVkalilIIipi
QlbBnce5G5BJFZmhIPByL9PUJEbXM9Vw94d9Av18L1CJwZhZwysU1sHbYzBifSYgR/lYbYGtaZdR
ElTjDk0dS3QV2wDrS89WbmDmrhXzaCZtU47Hl7qbKKuPQMPZGnFLC2THQJkZV4KOICKe5Yllknp2
usyDgwI6jOrJl96l6/H6H8HrXxK8oBETjfvn5/u3tIvZ6v9V7PrbD/3hccCvIKAd424Q3naMx2Xw
9yM+JgdXKfwFGA2Aq/obIuCPI77/CQAxh3uox65rE5f7/y4H9xOPBj5UucqzbQ6a/84RX1n/44jP
r6dBiofkr2BK/u9skskFLb/E1snzloq6oanGzWn6crdWS3tOZ4epNfq6VB74OWqMkldzbBB3CTDf
pUk8XpzaTbmBTs5BqsiKwk7xRUyWuOHGUhUvdbUQz2D6uWmj4SUCNrh9sttvptPkXbrveIFfiTpV
bzYYgsemnPl0T1gPfsqogja+gWgEXXvfKpM43I5FjPzmNASiAhse59vg1sZHrpV+ZXNX6g/mIl9l
MCrFfElqFXYlrshYZ3cmAoB3dCesArMjaKMMYmMUl3GwKSC1k9p4MYTkAMclaQrh3mGuZPcY9GXa
Cpa5jr5YnWaHlCfe1yIvuG32w+TxspCMPVl6jgkQWuOOZB+iHC5dfFTeTFrNajG2RX3+XZRrdReT
/Ua6XsVediL/0mU9x1ErEnsDC8auiJz5jaDtsp3JOEqIHkBPjcngkViOqUhUs/7DE2a8Dz2t12Ov
9Wti0j+XpwQCKGmYWvXW9Kyo0RgBLoUrtelNoLMIumfkxyAuoc0P9kOLXaU9GLhoXjous9/GRgAa
oHQAIEcskNF9Ui7g67dXObc2BlntWy9+jv2Yill2krTDEEosGsnDD/ChN7bDwIDHinfcqaFvgBw1
FQBQT7K+DLzEh89ldC3kq7ka6zurK4jh/P6fhZXxvkaNywmoHSv+O7rE+BnpLLk6N5UGPemT9NrJ
oYzeMmxc6e63wW+YBMtO0F7YxGIt/TePOl78OEPkv1kjqKmgA/zE2XrjYTLF8DRK6EfHmQIGNtiD
j2OQROm3BjNLfxQUudObovv1zq9QBYOlBAhEGQuYrgyRixrK7UXhbCmyuyGHNHaLNZA/YOZ+H4cq
RmDDiwrak+QaZp44mki4SOZn0AtakdfwFAagSzRRuX7oh8iMb4ZmAvwV19nwE3MDhxKWsAhBLMXw
qtbAwo9FluF0JLIw9ROHIJN/QQsXD6/d7cl7Kx7LYLXRNHfdrPknawtSQLglthGd8LashBve3XgE
qmk0PIkIW8MjRe0uYDF+o6soGT5MhuvczAXjXvA3/FA2x9Hb3OUwQhHqGSrEbE/rsess8c0k2un9
DdHpmiCDWoy7U9BK3Z04l0pxjbPRD3Nn8+OmTtr1IZtK6HatnfL4sVPwtJaS21lCfvGz2AKBb7//
Sq9Yx/hULCKt8K9L/ljZuHzKDA5LF78rQJMUec9Bpnc3OEFeTu36zOa+zg91sb2laNDba5ItZn8Z
Fn9Lc/Usnrua/+8vG13U82OAdUa9phTeGpu1tGxZE88FVyiVtd1JlKa1HFLgcb/WVfKJxAWwfaYs
mzRVLA2vPIJf32ygVqkhpTa53mmVD/N+8O2VxKg7P3H31o9TtkBT4pMGra4e8XAUSQW2whd+cx68
cVc3EuiItOF2Br2NrDmWuDp2CxuxLVIU3f0mBPJmYm8Hi289ZcmC8EcfcvM+iLGPDlhDNMk236EO
zisPbFxJQ02xhH8w9D8yA0MbEzNfC1Bi+tlzjXKnbDbAgd3NHU+GF+DsmsLg2ZV57RCMwVW9G6BX
OHvpV0TseMkm2qEg259m0Ps/WoroaOasas8JaTLCdWH3OJViCnpvMB3x+i4b8bJTiisIlZITv7Cc
H2ZLipDsr40kPDhzYLec5DgxiebGoYyWUIKXJPDql5iVc1M90TLtboYE+AUkEhL71a9XdTDmbvkQ
qnRuI+iFp2zyrJ+FVOubF49aHchPZ+e2c9MPh2zVyyjlctOUFRnSrIh2aNmvJOa6t8QW/Z5l8IAF
w/egd1pIHbY2CoDLQFILX1cH08NkVdGM/IGNHKsTVP3+jq4qxYqVHl8RlGvkvJP57ImU43jaUUBl
3Yxrl9+XkgS2nOcN8qoH292l0arOMm7ZjXTlh5R+wprdY6vM5rvFIzBo78Jw+WSVrE5CVlHsM0hO
9Na5QBZor3iJceSZhAO3GW6dnGnft3lzP7NgALwxRo/VRHMn7Rhsr41mfLKq6osTz2TvBr9f4+M0
ps65gSBpv0ZgIN/g5HTPzNqPiZzaJypw4ZDHvfUUwRF4rtTAvDbqwXtoWeSfUsaw0AQW9yW2Zw3G
03tZEb4+j6j9x5r0KTPcXNVbpQvK8mnqYOpgkTzpht6qsbEf+54tsVs2CXA/ek/Pc70S2I6ov7r2
SV2H2sYjXGzd3H1Goj1g8YTMAt+nMvdJlMxfI07mBb0mo2SXXY4j+kdb0HRiWKIISZ/VO0+bw4td
5d57arO441bomA9jhhW6NI3mZnJhS+1m/BKQCZs7EuPjZbDNr3PntfcNwyFV47NuXKL10XBm25zt
JzDfz4tPdfiiM+uaW+7wCypO93XxIWR/Y1ArpivRgii+G+jbvYmLvNo1bffFXtbomiRWtM9dnAcc
BfV5GizAngj7jK1EYnvHeOi6AZHMxlkfoFh8FAMFrO3mvonkYl+zdJjeUb6ifYzN+tFvfAk0dY4V
8Xw6NgPcr80FdSK/N6PWrvbJaBpXyDtyr8QIjrAsUG6Eq2+bvqy+puPAlr9uXiPaEW9zs3sbuCWG
ScbnFMnv3bLjmwxu8NlYpPgyz7HD1i5fOlTV3kLlJQHTx4KdDwzg+1F1SFszy0llD0Fi4r4KVN1o
8hXJIHiGHjVYCXURe2gA48DNz7i4YF1JmSbnEn7tyS6sz1EmVBAXLpYIuxa7ah7yPZzKYm81E58D
G8kxYUbiTuFH6+YScwPUHmEdWA6bOrDtxrl6sXAfPb8bnutOUJrRYZXg+STDLl/1gaUZqdMul0Ez
xq8upVh3Fb4oYrq62cXVIkElleUz7dHUNmccPw426ZC9tgvM9HSTwcMZMJ8GS///2Du75rSRJQz/
lVTucUno+yJbdYy/HXsd20k2e0MpQCSBvhhJCPHrzzMCbCTbZHdFnZM6dXQVB2iNWjM9Pd1vv+37
d5EMws00pXpUhFhcV5kmya744QIExA0WaEH3Tcp8T/LI+aQR+jlP48Lnz76eXgMJmt/7BsHKAUiQ
8rRIIDOmmXCiXhUw6NDB2lROxNC8JAhCGfLMqz4rWTiEZTcqvviF/wcEScMB52VIEjy6X31eABui
4GpJznieaVdmGi0vlopHJaTj20RZoTuVTEklwaRIoVe9bRWmgOXTh6HNjPLZIF3Sp00PCnZHqNJJ
JFtRCMiDktsURuXjBZXqDwChrDNIKIfTU7ZDcCZTGqhRNUqwbEgxz1Ko9/5QcrKKqa+frCoPlh6d
MNex4lfF9VLoyVnZ7y9B5mFPQU1SoTywsDfj6bwwf4DbKE+DmWmsLnyH3uKpZc0vHEHL0FC6VmCJ
6PGzqOYQcKkRHZ1ki7igN09Pp8SQBnZhFzdlqvZPhlVIQfQClrQZfQeuZ9NocbuCXVz7zP42u8nj
kJDCIHKW0d00D7RBNjPAsMBrbN6H8E0QaOg54niRT3EL4lL/PlP7infmUEHMAlLwBTmMz36Hv+fB
W4TLj3Qbyk6BoDhLMDD28FOGGyB7d6dY3krz/rCiBYQSKw2sNtUk3zwK4e5XwxJigMjzz+azovpo
ZIZxO4/9uaBF0bxH1ZRRXGlJmF8v1Xl1bsfB8k418uzRL6OreTm/Tu3V8mTu9Oe0bkqyEbReyvki
n4srsnrDc+HZX3DUyjOLKq6FJfRP00UVUvyxmM1mZzDAeeEV5CmlehY4KwptS13QSTsJ42QKeai5
ui80Jf2+nEUQ/WPyQjoPxOSQNYK6hK0J784K0YtGlYz69hzivz0fwutT+tQbxXc7Tx/TooqJE4t1
1DjqYdwuh0sTcl/Nuk8IL6d1oDmug85arLh56aQ3S3Kwx4HNXLiclQG8RqtpRV+82dS37p2+btBr
JuJfojwWs3h4l9Cw7QxGYQBU4cBIy6+wWycDXRO2Z915/XR+x+53mUfsoOXFzkn+FQo/efBtwP/h
XDR1Du0gPBTO6a3c1wxnCcoJJbkwKnl0MiDehoKcZLV3uf9GUtCLG0EKyo4A8qXf7ixqC5z5OZS7
F6EfEkxO7Sg6BdyBr1aTNGeB5OOEdx1/lBBgus7dvtkH9OXdbYU+KPTn0CHlgSa6meKj4YJq0Q8y
uRDTlDxOWdonwTyocCUkVTQ8O+axmVv4g70ywoPf/+gqWczWs4MIhOfQ6ZPlJDLXUnIJdhqwhoBt
RU2Rvig9IusUovYf42nGCUpXTR5+oVfJ9YanVMQFZ4DYs8ILap7Ux/0DalXSwrWpybwplER0V9D1
9ng8pyTh5HGYsYTQL0vJum0Efv9xVVnZ2BFqcL7/fgbp4pYCIGkCvUTyVyEMbMgilB2wESi2ijqY
LLmISRN9BJYPVxu7sQutGrH+flKM/FDR9VtvYRfapRBg2uGjgw0jupkaUyhke1jzU3Me6+L3SMh2
Gz1zlV4JCtC/LHxanyxmwJOP9VU8xFePJGm5p2gOURx6PT30YbIXpwSmxUVQFJwt0qnhJsaizB9A
+BvZ2SpXKcEYxJLY9s8Vh0hAePaSU7o3hKo+0DwOoPB+qI8R9L3fyrDKxtiJ+AetKOIHDcIByTwm
2yeYfSWlZARKCprzwfksN0yFU7XaG35a9bIiO3OgV8vOa/bdii8KSNxSeMOFr5pL0KZ28q0OgETm
XL2tX8L/4Qs/gy/QHQKK5LfDm1+ptyWT3gAvrH+ziW6qEq9H72AaR/ECOSQ8Rzfp68tH4BCe8Xqb
4CZIPkUlBratfZdxT2Dkuf/hva7IwnhLonWot8Jj7P+d4GbLgivUglGcik1T+zr0Qppceztri/4E
KvjQeXlbRGMvC8HEft/Rxt3aRr+Li+guCeI8+/AeZe0u3hc3aNlOsdTCKF1yA3tKIxwbzJnjBovb
wBn40Xj/rWpDsLNLAKVgI+IUr2mkcNgHW9VoVDyqoRHqKss+pFMJjgWREapJjumZR9L/z2y69OyR
D+Y9V84V+qTABJjAKh/EV4qmzL1onKwBXFhYn57c50PhKeeVHReTgL7bQfSxENSK6teKma4uQ1oN
D8WjTZcSaLF7yfCxmudn035gXNHUSb2bzpMpFI0kdWLSgnHfO7Y1YeS0mTN78PeUC83hBBBGc3/2
gAvjLcTAhD7WSk4YBOzsgVn1M1llcyUw/J+rZVhch8M5+P4VXkx5RlYN8rJrC9zcibGksMNWKRn6
k8astFrokek4BiIooEiBGuF3vWelq+tp7vi9h5IgkB6fagtv6ID+yoFjLIf0LhBADf63rMbG/Enm
QDhqA2hDiomo7idZEebZtjBSflrP7sfkn31pv6BNo/ef2KF+n1bnO8vhaVD1iPfJCF0erBhPsBzq
kUGghUyGSdKEC0sUJpTDrz/uOc4RmCkIPGDpqK81bmtHSW+pYf8TrvW5/zuNJxglRZzL9+AFbc4R
7FfDFtcjeqmDloRnHWjOkYH/AmeEtX5Gcj0tHSgq8DCNOGN9rW/4n9eBO2ZbOQmyXASjfHd3UUHY
8OL+ihZaMp610Keq2OFQTDxgfeFz7mrBlnBxWohS3/KkJW74C2mBQGDX5QCNJwlHk0wN7PHyailB
VR0IPS1WjK6u58Ku8XtagK9Yhf1T/W8vh9ZrnNSW6nL84T1+uM6gO00F3TrS6fdAkTh5P3mxge9O
Bc70RwaHPM4gMtVaa+nXmgoapRNrS7U+0D29mZdmoaXJ5wWhqbAXaTYlF+uHbM8FTKNGZs4hTrLW
Ev7Yr6UFDmN2m3HgDeP4thYsuUGw00DoWV885e5csEnU06LSqiv95Vz4b20QrSd4XhHwmsguA91W
hHJEFxBzuwm+sAuWdWTDZsVcAO4rr19uLtDKQUYROmlBM8BQyF612uYpW3aBVricyTmgQExRXzj2
v9aKAKkmWcC6aYF135cOE7xh9dVymeQJ7glj8qs9v0m8quPz6/oRrhDtUSS0vb5aFoGGyJhFduO/
7yj8BW/iyQcf+EE4rr3vYJK95qS/9YXtVvzy843HKfdRjr5PZ+j6i9IZX997bVrk3781jE7tC+18
uPWNdn++ecCXt351UNv/vAgmwhUj2oHV+/xmmLduhAf/r9D97jYJzdmvMHjPI/nwvjHOnff/E8HZ
zN3KkTohbMF20lkuLMdJk9+GUgm2je6CZ26cudlWUj1kohjbv189Tj2Zgn2qGLhh8CMRLcTa2t/s
OmqiCYlwx412RpRkYqW6S6aKZpQHo6JxWKCCnt2pq/CTSeiWrphsJUll27bstNRZ8uaA8y758Q7l
FNH3JlCQKPMBZuEZWg/Gzem9PkV1Hf/5JAHd2JQMiAaz21XyBRoPgq2cenprda1vV8GXY5oiNOTq
NeKxs9wQJqskaK5IfNIDzL/LeBy4LSsikaLbp/jni/0yKZsvD4ZSHJ2uurh+aZtMtX+A9XLNyIrR
rNoOsZ4Xa8+/65g/JkWQvVCzQwhge7N/ruYbN4gb1kOl7O4AC/vGpfWPG4+3I5TqoODvEK/wxs0y
d+QX2STPG3Oacnf9ECoJRn7guU1KXUIOB9gLbgJZUdniF+gTxTjAgrkJMqAasLamDdsEOFRGE7vO
QSk9KURb9EEGnsR5y4aQT7Wd7oO+nXwXbst72oRru+rjdrJwm/sW+QqZo+kuuHx34UZpRl1+Y2Ei
X0aADiH/aiKyScNSAUOVTBGHEH4zWQajxjaGcBkXPYTwb0CftpJqk0Kq+wDG+xa6q9c5HzcH9s5j
r2/wklsE8f0DuCRvNeJ8u0zkLznc+9o0dRX9Jmt5R8F3FK1nVbhwW8eETfyp64u895Px5N1l9mJv
gwf0AC/y4afkox3Vs77By4m4JbnpKH4vZUBn2cvmqXITXu76Sj/nrr9rUzbRqa5iv0xExM7WkMxW
fABDuK9uq6OOv7rsOxCjNZN7m2xGV418nWT5u1cHD/ziAIeRr0E2SmI65jR0vo61dR7722CSvSp/
LdL0lK57GX/aZqBe+1kzuCa/MQonrvjt3wAAAP//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96F26679-0A7E-44C3-BE14-BADA10E9F930}">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E5CCBDD2-D022-4443-A0DF-10B30808E0ED}">
          <cx:dataId val="0"/>
          <cx:layoutPr>
            <cx:geography cultureLanguage="en-US" cultureRegion="IN" attribution="Powered by Bing">
              <cx:geoCache provider="{E9337A44-BEBE-4D9F-B70C-5C5E7DAFC167}">
                <cx:binary>1Httk5w40u1fmZjPFw8SSEgbOxtxBVRVV7+4X2y321+Idr+AECCBBAj9+ifb9szafry7s3En4sZ0
TNjTJSRSSuXJkyfLf3/wf3vonu6nn3zfDfZvD/7XnxvnzN9++cU+NE/9vX3Vy4dJW/3sXj3o/hf9
/Cwfnn55nO5XOdS/4Bilvzw095N78j//4++wWv2kz/TDvZN6uJqfpu36yc6ds/9m7IdDP90/9nIo
pHWTfHDo158vnj5O91bd//zT0+Ck295s5unXn7956ueffvl+rf/13p86MM3NjzA3Ra8IzlCSZTT+
9IN//qnTQ/1lOOL8FUNxhjlnn8fJb+++uO9h/h+x6JM994+P05O1sKVPf3898xv7YaD8+acHPQ/u
5dxqOMJff347SPf0+NONu3dP9uefpNX55wdy/bKJtzefdv3Ltyf/j79/9wGcw3effOWc7w/tPw39
L9/k95181tMg/0TvJNkrTFJKOeKfTx996x2E+CuKMnBgivinn2+988ds+rF/vp77nYfy//uX9NBb
d9/8dj7/75GT8FcJfokbTH4YOQihVzRjGGNKf3vr55j5T3b82B+fZ33nibdv/pKeOAX4mh/U9tu5
/AneyF5wDDNKAKpefti3kcLIK8yyLEtQ8kMc+yMW/dgv/5z5nW9O7/6Svtl1epKPfyKIYfaKcEJQ
+uXk4+9AjOFXKcuSFLMvDyS/XYvP4fIHDPqxZ36f+J1jdmd/Ccf8+xz4NQH45sn/kgAAjJE4IVma
ZJ8DA07/OwIQI5bQhKefAyv91jvfpeZ/bdaPffTd9G928tfI+xd6cs1P+f2kOzn8iWGTkFck4UlG
kvjzwWffOibjrxAjCaP0C3P7Lsv8cbt+7Jnv538XRBf5XyKIvrEaGPTl0zDYrVvu/1SelsavGAea
9oUjx99DXJa9YgljPMu++BKy0+dI+Qxxf9SqH3vq29nf7Bg2/Nfkam+e/L397ZD+BHqAXqU0YSlD
6IdEGsqcJEkwOOif9OFrB/1Hc37smS/TvnPJm/d/ydC5vbcNlLtOD3+eX9LsVYoQpB+W/RDkEI5f
EUJTFqefHQfc4Wu//DGbfuycr+d+56Hbv2bQ3Er7oAcr/0wHpa8g9XOS0C/Ixb/NQoy/yiBuCOE/
Jm9/yKR/4Z9/7uZ795z8/wmgf60e/C6xFPfuvvykzXwlIPz70U+7B8Xou6lf7vkPse9zCJw8/voz
ThACYvC75vOyyDcRcvG0/nR8muzT78XWV9Oe7q379ecoS17xGNOMp2mSgCczEHnWp89DwELgE5bh
OIsThGFkeCE8n5SjBLQHqHAJx1BYpUAMrZ5fhhL2isNycQwjL4GL6O+y2KXuthru6G+b/vL7T8Pc
X2o5OAuzE9iQ+fzci60k5TGJM8IQZwxnKWIxjD/cXwMYwePo/+BxGvpkJtOBL5FM8mFKXAlvmdRp
Uy3k1MfTuNzUxFZHHctmPlngRVeNiZZ+r1q0qXyalq4XjeIyz6o5EdU8tQIbX+d1XaXyii823mdq
SETNxzYPPlovaoWapEBbVb3xeCDv6bDcd2jLa1jqzTJW5MYpHa7sxN9oU7d5NxiVCk27ygqCMium
pA3n85qSQbCWoWtLdSKccfF7rlBLRRRJfD0MqzraaXGl7pnMqYGJK82iMiWZv+i9tgWKELquAo7K
3kb82eJJx8LoxK9i6cN0Ui9tP4nUK3OfLMiVYbU8D6ltxaeDUmFkxZQ1H8H/Mo8iC7NXtEwnRE2B
7RnCXOdtP58E1aZ5lsww0ZLV4gIPZmsF7XnPb5c2jHU+dCx+n/UunFOz8Bxq8XDoYx8ObrXTyRLN
8HbE1lUMbbTtrHQ8X6VOZtE4PhGRSomVWG0SDlPL5r7Apo7u5jkhN8y1fS/onKCziVke71eCuneb
6jJWLPWM3k89i6RQPobVur7xr5npoufQrDz3yVgdVeObx6iz/sIQxvaf7LMvVsHNnjbRwp8nuHPg
jKEPS57RbFh38TQP+3nellwzE3ZSwyFbtrlyCMvciMxJfFYzNNNGzE6p9YziqmkOVYdUOFCQbZNd
QzIl90lItBZtFSIxRFodQ6pPlil1WLh2mXdO1vi9iWJGd8hsLN7DVQmH2fVwF5hRx3a2toC3y5xb
S2SZZoTc6D5076Yo6W4aM23vR9PYMzYk/E0bFrZrEjzRYuzH5DiQuT6txrS5bTeTiI5v5DQy4GxG
W0WFckTmi4ZNtoFEJQnYDnsS81QoMrpVUO6o8K0Jd2FYtz1LLd93HU6eV5qsJq+mvtcCJcE3RY1b
qXa8jV1zoToNa/G5MzuqKV5xniYLeFgsk87a0tXKXlc9385lWFWeaCWL4OLqvKe99PlSr2yPHEe7
qWuSd93M1L5nPtJC0YZ3hXeyZ3uFYnvjdPqeuG4+60l8OzC/tfm2jGsj2jlEoVxUd97XVXC5RZTu
JAtVnmbY5HOshmNdsRQLObPpdQidvrQ09Fc2Suhu3bb+ksgUHed64ALhsS77jKaHkFFXYp6GY5OO
qhMKr0m+diR56xGNBek35kU1UQhUv84itQoCAw8SLtVaqd3gFl9i7dJOxFUb8nm10X40iT2fE96+
9ixRp0O0kktHalwuzeLgwczGs6j7rmoFi3h61vFRzsXq4+z9EiJ5XiFUP2xT20Jm0CfTBq4Phqti
oAldRYt004qtTeiQxzDnPowcgj5qJz8cat2PNyOPTVuuC2rKuVkSKSI1hLeebHEZ2rG5WBIzHUNs
9LuIkm2PxyzGZbJF2ompNnFUDltARiydSwvcDLZM5oEgCGWyIjF3a1wslG6na2X0VeODveWw/+Qk
rYJvT0yvM1vQUE/HuWqbPNroHIRamXKiH4iE/Y/znIcm0yjPBjPlU4ebNzSr45D7blI5nvr2dHGt
2vJlko2IW0ylSKix+cQXv2/iesjXrb/XIR7LSW74RFdjdqG3OXqjVAfgP+Mm7Pjq2wRe0TmTBxam
y4kpdcyGhRV6BTDHdAFUsnSu7j4hy6hc9cx9r46dhgjFKKD4cxQZCqDlA2DUtPasoFEMsLpgvQBq
bJBhJk2Hva8Bns3Q4RTCYcXXiLy8yDWTLwZswZJuUeF8jdfFiGaN+HAB2X67sJPSW6F1cKWdh3A+
MUROv+6AfJNkH7TZJlk3X9pPv//6jze6h/8+tUT++eFL9+qfv53/1vb6t0/tn/RLGWu/f+iFLv2+
1j+bLy8U5fdOzHek53Oj7Ddy8N8M/jG6lCQoBQrzr+nSN4XeC/v4MuMLU+IJqGUcJ9CQoS9q8gvp
+cKUUEyBKmOcxS8pE5gK1PhfqFJCX6WcwhCmaRqnUGb+TpUwAWWAkJSlccwyxuP/iiqBpgr9uq+5
EgKKBkoqzzDwLgqiKvD1r7lS7KJoGbWOT9YRT7dLlGbCdtsD87i7CCgayyZCVvheq+tsZefWmuU9
XdrxxujoZowne5w3SHcjy8J5qufoZKsSWu0X3TaX8zBG93OWacGpjsdDyqqsEYTg2l4OGdmSqzSV
CvciGjqUnQQ0MXwBQBrrt7Yb8dwC7ASdQPZzxpwzM8VZm8fLGrwXii+uT0VVAQvZhVDH2SLMOk3j
244NjniRDX2Hjg33FIsRV9yVWROndtd0KTZHl9ayw6IdFGg0wuNt46Xs24COmd7wu3Sr7ahE0EiT
3KWVB+KDs42czFKTuBJqk1n7ptqiaF4EytQyFo0m+r4dKvZY07bOCkib3gK4NDpeaM5sJmMAgKk1
hQMT7F55jU9ZnASbz5Q3p1WLgGesLiN2t8Rtu5RBtxsrmG4Pfa3NnYemZy+6IXGHNvKsXGNG7raF
pIIldXOQVt7UXWfAWXN7PuJBH1q8vmu1TPatW1uBel4f1Fo3QYx93dxKL9e63BZ5kjF/rtPptFnn
+dbW/ZDPnb1Met/UYlg44HhNH5yvVjHN611oic3xyHPlk5Paq3d+cYPYOGqPjKUfoUM7lUml5pvA
ZiuGEPX7GY40SgYtSGbWvc2abMfwsAdt5XoJ8h3t8DOope40WL0KruqL0IxZ3s/uTvf22C96OCgn
TZHJpPChx8Juhp4aEwMdGMNlUwPjUFi9g8wji3mKdKn65YnKgQJ9CNXlyjUVNvaR4PNcCZtUhdpm
tU+XFAkfltcYcmGxLIvPa1R1ebouzVk1d9M5cysuM5LGJ5mWcjf4QMQc1U0e7Mg+yhkv+34h8iNr
Rn/007aVZiTRdW22FEht/VQllX5NIndDnPQ3Q791+9j0UgzSyMOgKBWzjKlI9EaAChKgfoykJ4AL
zW6aMN/VPUlz0kR8v9D1SRPVn7jG6aIC7BCqnuWQV15+1Emq84UMfVnXUy143FtICEkv7OC2nISI
ChIvXYkiKwXD/g0iQyymTr2LuuokAJETvTWjIC66JVsVi0T59tiMhOeRSeXzSzX1YQ5Z3iInWrWm
SthlpKmYt1id9YuaTyl1EPHzxMYiSUP0rB2F+mhhkIyEzlhcF1O7hC3feh8dsIrn6w0ta3bTpcpc
0hj3gxirSV4Yhuku0ZKVVVZlNkfd3L6xtHe5i1Go97LV+DjM9dTnW+LgbXCxVBDV6h7mbkzyuFqW
y3ZVKF8WuBY1XzokmPfb42gAVMs6S7fj7ORwwG7dVr53cLX8C8mIfT6CtUpou7pnNI6rFDVQlB31
89w8b60FDsxWPgaRxqNZLzAj9s4SuC1YNCnwBbT08Wkz8H6/SmbyZozwPsYadqbWk2xr6T5rNKCE
B/ar4xrIdbLMIjGhFrEZk7LioduPdSUFZuG9Ryl/l0njL7o2uoeQusVBxmLolC770R1dNKYXbYxV
AfynBZIoHyvLpkJiI9/1U9tpQQ2R53jaFiT6OSRFQD26HPvq7dhhxQTnCT8zaaePiLtdkiXL2TJL
c50mPLpRqc3ucU9kUSs+5qHnUATPdQNhvHqMy0oPfrd1W3xOq02XrnK2qJ1zF51tdAnrDDsdxdt+
eolalVb0CgqpZFeNxJfR2DX7rFsuuyaVpdzsYUVxg0XlwksuCUxsFR2u1mS7G2ZNDunS84cJ26vM
p80qrEqWQ8Lce7q1vZAxEE6cLCdph1ihZpRA3YyMe650mpZt5KLTbSbNji0zKoY48NJoL8VWs3pX
pQjwgG0XEujl6xDFy/kmOZTC25wVcvBYeNtCaGV4Ll2K633DUy/iFbOct+0sDJr2W1RPgMHunM+A
WiHZNsExh5vo/HDiVEoEXaGardF6PbOAhWJalTrtlYC98cPo/T7aRn4yxUuVa+RjkVHeP2xGL2Uc
JS6fURQVxqqxaHvdVYIzbN9w2fIiYWorxrTjhXXjCY94LabIPPsxe9vLTJeBr/MutkYC2+Uhj9JU
l83gm9089/4YqfHxhVF2rppPke86EVYy5h3OhtcYmMkZ9uDYId7a3SpdfBJAej1EJONiNIMSyzBA
zVhDyRMx2POs2k7gXgHejfRDCPEmBpahslHuA9ZKnRJTVQJtQyeqZN0EiAXoDO6A3VuZNvmq1PNM
O77zJnyozUshFThgWbuR6rzSqMIChAs4PV5/7A1a87hz02WlcJU3C7IXa8oWSO7YCBrXdxqRZ8PH
p9TJbtcRIAyLT2/7aW7yXtnxXcdgqTClkzCzd8/TnOK8ta0qQH7pRWbX5lKTrr3iWJuTmOFwtigH
x5CpD3NfxQWAqQbUlsst2zQkDJfcSAnl1FL7WbSeAa5T2X3Eg8N5jzd9Mqc93bVLtuUDj4adbUN/
hhFeS7eFNF+S7aNtqg1KApqJlYMNa6NUGUNd9s7GOFyqxGo40MAJFU02e6hflAHzF6faOwh75c7d
OrA3Y0ZgbhJvN9NcndDOr3nU8fpqtt16SVzV3mUtvSGUrrnu6osUa3tIZlYnuW9aU4IoBgfdyCZ9
y4lac0/oJDbHyjRUFOejzWrw9LJuRRj7TUi6cJTXGj+SwQ+k2MDPIJQh/XpBwR3i4LND5gn7sCob
382xf2hN5V6HOInacoFi9tAal7wmPV1KFFo/ALIatwjSbDnHC29ERQjciLi/Hhkn1+sW2zgH1IyA
YmCDc5La7tlO0Mp5CdQafAoyoxZbNtG9MYhAyAzU6cNkeZjzGUOa3+rkxshtzjMXnzEWt+8t5fHH
oR6P3dpUoWh1U+djnTx21JKbgUr8gOo26kEko1yJSM7+xKx6GoVUTTsXUBb7h7hjXWH0bG/COo0n
FYDn+dJE3Z4P9DLQ4bTSmcuKBdKBP6AotHCd6ZI9VnXW5w222WsOusstMVN6jmZJiqlfu5LIxORG
m9AV05j1pXaJvp6SdJL5Bkdx4RVmUN5WmoD4ZOa6CBNzfbF4u70emOz2NZraXZWtbocyhEsDdu3d
RKN9S9qq349ZJ28BzdQtpLj5fQcKwo1qXXWI20yexGQFxluN9DgOS9QKGdlKiY2u3bsay3Y7XaKt
Fzw005FHGAKiiVdVGtnxI2iwS970Hinh08EUdKlBOojtdOWCd7cxC/MjMetyYFbzU9227nVaN9Nb
nZBJQfzp1hXJSAvVk8YIYFfhHZ9cr1soH+z6pkaAsDnUSTMvAjcJFWlntqWULcTDKWdp35es6ujb
tWKBvq9VJEOxMA+Zlc0ph0CcvBMgi/i6TFVKL2iimrslW2kEZGW+6cKwocI2Q3TeDV7eVT0ZdlPF
+rTog+9O5nmIi5a1NRNpqiImbL/2t3Hlq6sFHj34HuB16vnN2gM3tsM4fxz6QRdRk7U76kJ9Og1A
SbthGZ1w/dK/QQ0oVAl8s3K/sl6dtdqOu613TaHrsctNFDqQiSdDdisa1qsuJdNUkFD1ol2kKpcW
gd41BJCXcDsc5szXl9gk1XbNsnbSr33deFLw2scjVTmDL6kBWehNwzfLxDxjbOwj0E3J5lqobFzT
G+1qqizA2KZZNtlDy5uei7XdlnDa+TTKqW1R2QUzTEViG8BRzzoP1IkmB9dQcouZ7OcirLXJDpOC
WPzIKauKOGqr+kwuixwFXOGpLTGr14LieTG5irIV0MdN+mxxkTnMlqNrPzqoBdAY7QOhTbG4LTqO
62ROJriTxewSeWZakCwrPGfP/aTTh3gAuVRMcnLt3vfmjVW8kncIpXPep3w9dxCPgtkQSEEtY08g
5tYHOvdAwZFronyUU/YutGtcSgroXHLbqZ3FNtzHQKxP180Q0UF9rDMT7zUsewx4dFfGSPO+8Wl/
va6IHIORa4771BSkQYkRqOmTElROJ3RcATsYld17tSDoNrT6Ik3HvgA5J31rgUWWznsQ5QfUljXk
OiDn41Z6PLly7rKTyAxLoaFwv3a15LtJxfiepD499GoyolKATJ02TGRSN3tZJ0sxacLOEtlTcK9t
1o8dj5Y96EyvE9/wx3iYXi9giZhcjHOD8XYYUTcClZrrMwUlrReIp2sJ92bcGe5JOW7QuxjgUsYC
tbIp16pvSt5BGq98pD5Y4PRC86w/RLJKimiFTDKsdGCCdc7mURxtedomyU5XaS8GnkWvXRK2a7M2
h9mDQOvVPOSkHpIJGHjUld3WNE/G0PS8qqQEoB3rQ6Wh66EsAP9sQOLtmi4PU9eXk3ILJJ11u2pc
zC8WX6uyHSQ9KCpJibsYANNqfZQxumSsX4S11ut8NvW9zYa2GPTmFBC7kV2oaJxy38eqRF2Virbj
yV3NUSaS1Q593sumv4uMvRuTTIlmYfuUeBQLbZbHGFoxBybjcLL1UwfnN88gdRM3Cz/UXb6pBNSH
rKagc3b30FFrygW8JfDg3xsGRUTNii2Mj0Pbvbft8nLf5liXsxuUFj5JSspiLDrJq2MrLblX1lei
r2OaA2cG0TEafNuVE4acV6d+PNO0HeC22GyPYpWBQJrKs66u1SXoD3FczKmfWbmYeLmwDvh2Gy+4
GF/kH8+sOeHj2EGfaAmHumXx0zpAidZCp+LQpw5k52jEV63LQBEw04NrvDtmvWxFzFR2hBZg0TSb
OWGGjpCAI3XEWb9cBdXUu1qOH6FeAyq2DXIr0tD2J8NsFgVdM7vdLg56Y6D3nCdJX70DKvVGRuOY
Z5PLThtoNuSjD0AcdXNSrWG0opmjqRiW+QNH4/mKtkQ0LX43RAB57ZKmO0Mnlq/wHanbxqNeJNAn
LHjMlhzPFXkTtCKCBIVPh605k9Fw56C7dthsczNR9Aw9T+B/G7CjoTbDTaPxXdKg7iRZhvTRkm4q
4npKChP173zGkmdj+ijs6oFRJ0D1APLtDfSIAu2voWMU10LXLSqcYdWHJZ7VIvyyTCBQbOv1iFDQ
omNVBbKTW9cdsekmgfz3CGocT/YKWgPX0CIlTpiEaArbq7JZsKlxEURCX9JYTUc8AJUMsvZQ6lQF
uMpk56ol5vVCUyDWSEH3BAclkaA4dEO5sA7Zco4bc4ERZSfwPzCkBvaMa3ydthrAg8nmyE2sjhuB
5IqS9aFSZh73KlJ16emciixr+4J0/hhkpiDU0bsJUlLeIWdAVH/RAs1Q5xufM5EhurzEBLA8icge
E2DCtcUACdRPy3po9XzIlvFDzcLRw4XPO2niE1VH5xW3wHU6MpbtmB0NWtxuTVRWZop2R0NA/oMO
hs0HoPo5MFOcV+l4NtXLFW/tY9xLuPHVRkruh6sxNUMBwkx2MqQKiyxyzR5qFxAQQx+9XnF6K1Fq
T10VmWKdqMzrLhmgg2DqUuoeHXwLxdlEZnsyuDoG5cJpESvyaNaKX82g8x/aapV5o7cPqkagnLkt
2WVqkqJ1yceKLOhmZUQV1G/rlLezXp+IzZYbwD4sKCVTnkG74ziNIEbFqM1RFaXn3cQi0FmgP1pO
sVIHTofz1HU2r0KSzgWWK5/LrEZ9Jtq4UccR8iPiQe+U3My9RVrfEZYmfaGiEB4UbiqfQ+M7ute0
n15ncRcdWkh4k4AvtPsDU+10likokTLO2qbwsj5OUVqXSb9tH4FnQWjVpr+XLWKv9ZpU58E180Mk
6XM9oc0I3kT2OIIMfRV8WuVEZuuQGxmvb5kn8yXGTRouJs+0EWvW6z2ooH0juEtMEQKHJqiWKCuo
kr4wWA5TLsNmdtLgBuqFKrpAciJLTiAZHGS1vNlq8hYYArkZq1rv6nFzB4iDraSThR4UZ+9WRgHh
mwHf1HFnctskrxmy1X3vhwh62xXL4R9RYFl0UKRHpysGUnMG/XorRrc0p8AhnN/VdNL51Eo6H9MB
8EdQBz2zfV2t/kUk6hqxghYGnKanSAxQ3AC9W7Uh0ErW07vJpOPpODK2iEZnPBZzDBrfZtoq3wAX
7qj2PLlYJYnfLLAALdg4h9tZQfMPwrgC0QgE6kbUw2bPk9nMZxncnjGPzer26zjIs2CMmQpIWFy4
aa6BMW2rg66l66FF516YEKDMXa9o9iGdGgahPbfuYFijxRj5EUgrfDtuEHXULXnKEn9DZuNAfIqV
oQLKMAaeiPi7Dtv6kTR1WxdDXdW+AE1tu97U4qGHC4FWhtFvEgg9FN4eQ4oGCtqbAvqHzyvQ6xJa
BFfQNmxFsDQ+GkVdQcy87mtZjVe+XvBt2wIDL0gKgP0/7H1Xc904uu0vwhRBBBKv3EnZCpba1gtL
DgMwA2AAyV9/Fy3PHUt9r336/UxVt6qlLZEEgS+s8M3qBb3tXUeLrHZTet8Lj3yKWNbd1iuZ/iK8
GC+YccBlmlWl134hw18VePSbqAlgKS0kI2hee3bXizS5VyRH++Jpri4JMfGXpS6qi6FPp4c4ZgBD
53jEKe1ahNWsEWkbo2Y0Zl+IvsShDBwZawxABTPmlS5vgPAPyCfKs/qypPEijoMMAm+6KQ/54HW5
n6v+dtU9h0hiseBLAUN9jNZEX5QcobKtzfLv2jb0c057FGqrHNI9kA5/Y5QqdKbLwv01StEdA0HW
1R1HMsOW2qPZKQ6R7suTJSGNMkCjlz6fk/MpRMPB9rK6shQyV1T2NLrq1i48DmU7zIiyRbM3JPCd
9DxHOBnIna2cvRFLSM8aQ/Whn1Z7Cn3Ed8xW2CXEh+E6rRv2CegtQRIL9mOE+u7Kdy4cxwHVP+DM
BCgNMfeLKaddqvQE0L4rd9r2zfU4qK9kovSA4JSfSSOGPQFXfK0mHA1WxuZQOHbeGZretrOcz8Mi
pgtJkhXCg7ze8wFdx4iKcQe82V/0Ro3XxCfVVSrVF5D99DDlS3Qs0+VFL43ZxbxCZ5CWgBVp3gAr
88sTNEH5MfHgtm28sgPBRj+ZCdzw5EEEV30HzKar2iUG0LbuDZvpXsLzlg2iQy0brf5zUfNlh1Zh
PVv8LFcksn68TZMOODBVdb1vRTzV97MwxX4xSDalqLoKeNZUXZHE7YMAfQOMlaLS6MyRVumaqW69
EdWK70f5Xc/m5UMYWuDAU/Wk+vgT0wjWgrSHgrN1D6TkRbVeZkqD8AjB6H1P6mjfJqQ7xrTiZ4E3
J67L+zW1aBW4EDs1Rmum9fqBmQKij9L9ZXtX3ko9nuUkPkNhNZymlU/PZAYNEjPyiUU0OkYrKuTZ
keJkJyTqOR1fGlW6uzC6u7GL6yWLuhSpnW6NoKnJh5SpZZdHsTl3bRRf8Yl84yQZr7u49ZlH/M8K
0GAAehT/NASxyRjmq8na+dzX7q//pa1/MXK+cT/8R+j6Q6638cz/f9L6nYniF3Xg9ns/qWsp/6US
xqRAsQpDIQfT/JO6Ru77lwBnHaVqo6Jl+l/mOqH/YoInDMQ2WG0w5z8VfhQKPxYLmA4pzIdgm5N/
pvB7Q1pvV4TQV0nKYiDh7Ad1/itpXdPStzRU4ntK82FUh9hyS2pkv6lYnwQyVfXCiQeR2rqlX/h+
iHEWwfF0efRFt54jy3fxjO5EGbGMewSr1p0F1dT9dS0aS5asq2ZhvwhgvjNQGylrqC90ArHh92SG
SuS+NnNSv6QpMO2vrAFSdaNlAdVO1tACR3HHrfDNB0MjgLJ7XQPUQkMcRNNc0WRxuGWNYn65jBvW
lv8m/dThd355pf8PGeRbESSQSOgOONBgKAnw+qCrfEvsJ7QpRiNN+j0PXVu6M7DlNT+r+dT75Gzt
9QB0Yi0sTKp1lBdxfvz95elbYQGunyQgjGLOcOARHtX2819EmGvJUqR0WXwracUQhAdAewxFnYqJ
K49+DtoPezQsmpuMcAIg6TZwtvTxjvJVBnYxSAiHQMZ1jnl6o0Tq8LPf3+S2Br8KRaGfoIzjRrHD
eQRVxdt7DMs6F34V1VnSEl+hNGuahD1LXxl0hv/0UjzaZLES+jEoQeS719HkcbOMWuoz7FcynE/I
CGwTHrgGX35/KRzMX56KQ3fLGEe+g9yWQ3iSvFv52RQkNp6Rb5J44M17jRIjccc6BUuBCs4PUj5X
UDEMkE3/3yDy5x23XRdBG4WxiCBoYe+vawEVJh1hEEAsOEkymyJb958Mz+NWAzksxuJDm8NIP2QG
3TP4699fflOq/Pdlbo+dwK/BU0jtBGy0ybYsv2w4LaaCRLNh30hSJyCCRYikeHld7g7NaH1TENrR
a1a5ZXwAHxGhKICFof7jC0Cce3snAgR9KgTcpVDxiB+am1/uZJBFVC7Azb6Cz22FP3XONvlyIHnT
q+W0pH7GW/mnDw81kORSpJGK4L17J3k2icnrEnDqNy4DYtdxoXKl1VH4MPb8UKQ5l88e+Tp2WQ+l
knzuomXyagOd0DP8YSNQ9rcFUBGkRlv4YUgS7wXYWkEjouxAvhggqQ05mwezHXPIkw2s+mMoOTr9
oukXsHUz5FO4K1FEZnxorCzBkBHq2wfVmAbH0InOx/cNNNr9l9+v2Xa6f90wMJJEm74K6mpkJvb+
SI7gBnzk1vnL7KHMjTKgMBEWK5oDAxI8e7BMDzau3HZohrAdV6g29PhPF4tSmcBsFMEOxhlHwH67
b1MX98MCsfeXtkaBh/4TMRnV7rREA4S5LBfIZr0effXSlKJFnkBH4ak4S0lJpipzgJV/5LPF4Lfa
Yq2ny03c3TV/CJb0/QHD9AAmEcEg4U8iMITvouXMQmtVu7IvfR5L0hzKobf1eOtWSHNAR7rF4eYI
wD38rFtcA1FiWq0LeQjW5ue98nWpd81GDF82xrVDDuQ3kjn4bRGR+h7Ccb02qDzVjEAfk3Kh7QXY
+hp/tSry4NwfAgaFGejNBoglhQ1PSSQBIeE5fhcxsDNbN7WTfU5EJ0qxs1BUYSvm+YgubkfXhCBh
5ctr9KxBETtwJVv0tjRP8aM5DAyI+BjYnw80fx/FY9RQMDIoKPRg2vzbtqjQLDa56eyz9ThF7sD6
KuXXMUwGyyXrxwXLofKpXp8gbl+WJBuND87sEPCDvNduzcmZb3i5QhI+9vImLeRW9sxQUtQKAKLY
Xk/XM4UttEyJmO6tL6v1aa1lFaosqustFRdYfbygrlUG32QQjq5PaTPPeHdMlAu+9Guk0ada0bP+
KEFM47eqWRcom9yPy6tUkyVkaTdDlJOhsYtw50BXt4pnsKKpXuZets4e1eTp9MAZdKxX3le5z6DD
9XGzIzpv5jPA2EF/btM2509TNFFssiTVqJ4m13YovH4fG96HcKx+EiUJTVEeSMHgSHmTTMCcteAY
bf0MxUwPsHSG3wX4T+jKDpDv6AICxe+v+D4awanCo5gib1MUT3+7Yu8jEDMNC5/ZOm6bMUAxgPAH
ZhiE3FFOTsjnvGRgmrIQj0OvrwGfJtinv7+NrUh/cyhYImWcIHGJOIqB7Lx78hWKJEeUbJ4a3jYD
lDTdKMj3zhmHaGSqvqUHn0MMdzv1qUbEsUZ0+qDTIZ66DCMVQj1lQ6zdZZ2n8mFmvk6XrA+Aeu+H
lETFzol17i6xiUDElBHPC5tBHES3w24i7ENoolFdnOdlNWwnf+KCfcDUjMQuUKV5Nk+n3z/x+7iW
MiQolBt46s23jk7n7buuZG7aAGXD4wRWF6U5qNUYpTmE9Ni3HEUWPzM0zNi2c6UYvujhR71OpN22
NBvLEOcP+Sy3LR27Ym38GbBJtoVIB3qFHl0NeKEAf7lsSu08NFunQJe0welMqMMx+v0jxe8iW4oK
KEXaRFTDG4SH9V2odgymla5s48d0MAxnawA+ixsYCBu3o/vjHMdRtODecjNvRxyxcgsp3jokGmKg
K4ciSGzf6kBUVi+1KhOgq6He1sEtoZM3uZvxqcKw7REX3cj+CAIXHheb+on1uwX5Ao/7h0d719fg
0RRq9pjiqKBiR7339m0Nc0WTeuyWR6anLVIN3mFrrfVadF8HUE4xtKhDB71AErdbfmxIR/FCZtnU
ejmsAFMHfVSMjOERVarHcoSkZNh9bFoRTdqCKGwxHmq7RbcRYfOsiC38TbsBFQkuWAx5hP9C5wiJ
IDg3jqUYhsSQYSegVcSRMCqG6mz3uj5bKNwmNP2u0n53RlOUC6iukhgoJSb9/K3UpQFKlEU6Amw4
6RAdXsvb2KQzqDP0ywb2ht9fMX6XjrZLcobCHiJx/IOq6e2yRyWoWmnn5GM/UuyQYRkGbCjkfqwP
Ly3vxCEPpJv7TNYMlOdZPeUtShYEPaxS8HM93CZg23PIUQZIte7RhcTTvcdsCWSAhuDgQy6HRPXz
tWkXWizlDDU3zgpO0fY6dDVvL4KUBcUXtZRquo+6psOdiKpCbgJ+vHXfv392rtjbmIiH35IAggT4
d1RB7zsblIM90dG8fASTCcNeNowVdDl5gGHnBtwZ98vBGS9Buas4VkD6vXeFu4jqkc0is6h2yKXX
DYgb8OQJ27nQzfprVNTRWchHDplL0nb1N17Wq79vNg7mJcArEj7wicIut0/LVgm7c6gf+/EYgkin
G+9A2kDh2UQNvWKRp2rfth5qrHIeRp9n3Zy6tcxMC18ZZM1QGuAwTKsPS53NRJS8PKqYjvxB1sPC
NYxAdAzjyapgaI76LdcDpMYJKrNdstZhXdGsYyva87lawD+43pbyOKlEs71oyLx+DBKGtKeR1yAb
GaxsdLegP4VoTeqhV3tVxPB1aVHrsyRmw951UVgvc9VG0YkGauKjJn1qooOtuoY/AvaFaudRddE8
f5yHGfJK0g8tuUfGSKAd8lL6xzWZNOSotuuo6e/UvNbVKS+A2RxXoONQ/yp02bEBY/xDrk2bMm2/
mRjCynmPrbK472oEvxrtqjr0tDwb8taJdI8+QNTylDekkjeg+0lVQX5t47423w0sdbCh7WbKUki1
4OObsKVhXeituWMyGmR0aFtubXI+QnVi6qtWzBW8YuWkhzBdBZFrCMmhewijuM/bmLlzWXLw/Ufs
FciQMjutEdJ63adg8UDAcOmGvcn9Wi7nQffEFFAXN8g2u0oFjgA72WIUnzoCbqA/x+YIJAcxgLKF
3owWVRcYoIWls/wAYWeCL8PrNwmEFPhZpNDV+93a9dx9WUcH2d1FKb3V8RmdCUmS3QL4ekxOc1vS
ps4EEF3kxUiQAo+jGSTj7GXOIZ9Wu1IYJfSHJdhgk9syJ2WowXUyEtvzalxUOn2QJRMFBKRKbZhE
4gdhqqdE5zlZLzmve6wUxLAI2deI2s7Amchyn9RXtHAFrW/LMpRpfgiQUPf6AFqQ4d4RsrZbWiZg
4DGYELMUbh9ZsJbpvh0iItpPYLBbXK+BhEM9jjqFjMCjD8bKxulYIIPsqDTbH8H9o2TJnFNbTc9N
j6ffWUNbWABLE7YVY/VQ4UvXg22HpD/ZQj6fBp0mOxWGDhtgbVFvnOBhbfA5+/qoZhArls+VQIcS
5JI+x9VqAxbloaXF9nqo5SYWf9Ea4oQ6a7kqgZARaBrwKgiMKoZ/B2Oo0HH4okCltQspXRK3K1Ij
RoI3yEc3PoHagfQa60XM2p3MuHI6X6dlst1ygTdt1weJnYUrMPzIfcnJvG0w6cn25sVC8L1aNdvS
TBNkAAVSbOoC7mHCKAE848/n8Z4x9wUwosH3xGw7+VAJnkP3zIMCAJTZxFCsxc/dk6+9wp9MSrI9
XA7VK764EbvG737WuEqsYvsv1ovqmkWFJw8/l5q8fvw/i/z6OSAFcXUN52aDG6AtMdOXqpC28Kei
hQZmhgdmxQDHTMdMw3uDBlx3KhOvL6pbpwFbDZ336PV5S9WSCygizLTID6oZobh8mOKmxkdiC4zN
g8Zi+aSyKlq2ohe2jBjfrGE5dF/U6wp2FicIce31mUxcoEeDdrOVgZ4tY7p159Hrq33dHjKvaqyP
BGmJLyKpt4ef5WKwTyHb3C4DU4HEN5fORYl5hLGTj8MFnpRty/u6kdZxGXGXeMjtr4AI7/F7GKDB
sLv6wWy3/rqgZA3QU0P0yzqeHEgk2qo8X2PYxu1JR0C0okMooD6YrlSpN+SjD3i/xZTE7guVusX2
AWvabA/vJxS7H3og9NsfjKftC590ii91G23HoVnFdv/tKLUJj2Otaw3zjE7xd41jVLOzql8SOlyy
171SlL0aktPPJVeQZ+J25oJV+CPIAB0uXtqiQp6fqFtl9IjKrUwn6MAIWLJd1OscFxelwcDF/VBD
Y3xeAzAAZIPXBId/0oF3jvcj8iu+B++PLNNjhWJxXi4Y5H1zdzbwLmqaXa14DcYr7zX6fKroiM+b
wfX4gqJR1DeNG/HvpQkA0UQEoR+BYSFO6xsIxHOAAsGXuDo1upueZAs5XHPIl3Xb+0EhlJfHmcFp
V29iHbiYD3WDFNscZtJC03IuFFLV/DmS8J3Ko6476KnPfoLk5VAbiHlHU6Pf/brwHsMZzmxpsBwn
9uPMuC6tsWB9Hqp8fWIm7cLw6FgwQZ4Nr48+K91jiZid1wpPVGlYcg9yhbAEPjfPt+Wjs912DfCq
bYu/4qdpX0FTntEx3p53gO4EXzw2OD7vCkChJCvqFbiy4nEFdzQgi0U21wzsNT4hF7r1sBNEMthX
ryDLSiGZyo/g/30en+vcwWuera/QW462HKihE7wCXprTCq1v06B3andDDWBCXEK3sJ2ngYcC1IKu
0gGhEr7DBTmvXxBpyiN6vW3xxoJtUEEMwzgYBmgJNH7dLzWe8nNAeZaTi5D3HsYjxcoNpOxGpLvr
pIKNcbjjgLGW/DDnmE9gjjJYUfcQCBIK61MCEEg+c40pGA6i8AANX7YSvuKpJPREWNBG5Nt287Gn
2HyvK1kOHZBoVkQFmy7CKpo8uavWMZAHONkGoAqrdUo+I95if5FgV6xAyaPtGXILKZs7or3cUKq6
QL2Kylo14OCfpVqMo1/4XMv6Rkpnl/y4afsH8u9Q0HLOD8horBYwdwL/JjtIvRL/BEQyVMPHSLtS
610OR6aZ70OC2sZ9U1Mxufhzn6eAJk6+GmHB2ZF47aunlY8x77IR2WFGs09ph5oySYQaKdSAqilV
vJvwTQJPJpQ+qD8hAf3xJK/v0tkSADHk23CM47F+hJu6nrb4pxa9RRNU/9vhLfpm+0T7A73Py3j7
nqBQyiAm6mX7YA5nGj6Bzn3jNoo6tzjKGtVifrMOC7WHEgd1O5Wq2X7yc8uipkQkUgLMECiAH3j4
Fk6J3vl58SyBTsZH6e1oEh3gdopaoOd8WXMVn0Ncs51yTdYNDuzBfuELR1k2nDvo28kDj8A/3AC3
3O68KsCfPv+8kPAKKQ1UOl72a8fWFuWaVHCh2pHfVa8Bq3oFGuFE28BoUrsNhOw9FBrQnuvGdXlm
nBzJA0wCFs88BHCT00UR662MM3zGNZKp3m5r/HHgMF8CeQRGinE75DbeyNN9G+ZtTyaYE1IVsFtA
ztocTFnjNB5fFwQ48Bb0qhTzfhDee0rKSxMzDNj4A/D1rqEHloP4gB2MuTAJlEzvYWUzgEMAXh1D
Uom5EC5LtJ5xGgL8NzeO8O0Ewfe+nS5oxrd7/0N397a32y4vN+Ik2mZO4vrvGls/zh0JfQKo6jU0
lsCAcRfoA3CSfn+pdwA6ThOG4kS4FiAr/Ftubf0vvBAcZi7NUUr+Z49E8AB3OwdTBv+QKHBWiMjS
bC91LEq8YXhyOV7Zz+D4+3t5CyEIuMeBCtFtHiDYT+zz+O295BOLAd+W+kGBVZPPhaBbPd73mLwJ
4zFK5z+t898vCDsvgAOZYtYP3vU7XBGUakTrJsrv3dwiUUAIrwZ4IiuEuZ8n+/cPSDfY7r/0zvaE
wG4jAVtLGlPQUe8uONcl1+1Qy/ufESOYdQPtF8mWzVPEIfQ6wo20+rsxsKXcNyO0us+cwVbwQPqV
Ix/94Y7e7nTcEVqpVCF5JUpwQHTvgMZFQSmVLMzd16+HKqCuwxmfxypHXC/SqcArMBye2nivGJID
SgtithspLYP+bzc5dPZH0TCY0LMZoWXZIdQ7fBznI6c3xcLQT+7CK59lX8Ps7x/i/WvEiwORHQkw
JpRSKP7f7hvkXTfEM5luTF9tkWn9UQjZXrQjhHww12CY6v8c6hIgQCQXEV7k9r9tduXb6yUzqpE4
jcabn2kPThYHaTnGw4gu832h/xG0hrlRNKUwfeFgYEAZ/1s4YAGjU9qpKG9e0xKK5O1tJBgsxA5t
77aE8fsHfMdCodmDQkOBtt4GoimJGPT2CVsMx8nL2aqvmFKCQud1A8ay2ooqz5qt8QrpBLtB1HAf
QzXta3ACWY2ird8NrJ2TR1hVEC7+cF+vEpFfThDQPggW4AGOf1Dr6fvIHEVgVpLC9Ce/xpHpD7GY
Nz3BiJEVY/fvfm1BSe+6XgMdVVmTr+j3IJLTA20ukW8hDdLQ0VlgN1cxB3oQ3Ta50Lo7W5DdRXcD
43pFZ4jFYpBGn3uH4UT64MuYt+7Q1OMaDztMSZF9s0+9AFh2BSVex+StemXkKol2gn3IW3iD5utK
m0lByjNOsoDKMyohITlDq5BA4liT0iKe/SwxEoJfM1n1Whigxk4R7uWPQPTaLFQ/VjOYJkbwRXO3
JfIwxQQlaRenqPTbeMRyo0iSY3LD+norx8hrdWJBb+K9RZCarhg/1Q8NXbO296ot9hjWVUOa+h/Q
wiHxwYryWor8qIHAjQWs7+rSLQ0nbgI2hO6gkjDupZit8dDAlY9cD8NeXuhdPTc9OiIg8nVZPzIU
rpAMy2VQ3J6XMiJbO99PHkjp8tpJqbD0DJMqqrEBcAoMJQFPkJVmSLt8R8ZOh6jJHAaTivhWOWWT
cNAw+Qv3USxqWruPYAw2TgpVXBTLm27oQQN8hCZfcr3HPocg4Gg8dMUl/FooG/+9oHns0wshYXh/
pmKGkfQGwFdu71qlyiqGL6cnEXpZHP152GGOHNjwAww4eLeYZhSvmMQVwTfRTTsUV1Sku4Uvebiq
VD/0cHjVZSjQD6vUg9ksTNSfOFzB4YuMmmox+5yjZG6zBqNA/KcW2AmBR+KVNPsZTRwYbS2vUpil
0TK0ppZwzPyslABdb5Xe0g5b2njdGvWPeq5N6gpNl1fQtGA4ho9kA+9Ur7sEtxFXcBGEikzqI8Jw
lz5YGH7rY1MILTKjdXgQSyHK/VKE/FTwiZ0VEVvPGz9PZ8AiuvvEw2g7K2FuICiuI6C+k/8Ig4Q6
41p0MMTw2Hwpva0/6ajo9rPCxAr4qthwQrsKUAjD5y5TGz13FY5jG6y8kmGbncGNwduNiD+WcNEf
MBhk/LCW9RAdUFcPh3SJGDzXvWy+Gjs+xJTbS8+JvmymfjjAgTLvICXRZ1MHz6VRIb1LrHFg5m3x
rehdvq+N1dnC23YvcuUu4HRvjkvegsdtrcB0qypdWri+2uQY8CfPU3RUX/zcjad4Mfk3p6oaM1Fo
vWKUSCmOpoy6B8uBrmc1QJY+I6zTj2Fe05eatALN+Nh8DGkM5XM8RBc8UgZabULYFQfQdvRD337v
yyS/A/xXQHE0MPWNgqxBR0ItvZ/i0hRHu7TkQPtmuO8nDsgAoWDfLzNE5L1fKozuCukuT1Ru0k/F
FKvlHBqC8Wsfc4iQO+jh0agUjYFrm4n0ezqIpNmTnPiLRkFQsOd0KO/miVXodJruUvQDddAim+4l
Knt7NSc8uuwllNmInWJjQfUUMENknK8jTJQ5B35NLoqKmXifIvp9oyGwNlvXlBo0vpZ8DtaF744Q
qHULur70GFQAyXJuIWtc1x4719QW3nza+XFv11DNF3LUDqMmqC1uFpogEKMp2k2B1ewCI1Vre+Fn
54+xHeNLUTdzBqz2SYTlazTm+Q2nOD5TPw57gIMRRmPMzZTsxdKxA0+G9sYa7j8vdkZVFYGg1j0m
AkDFUO2SQgubkZHxF3DLsM3HdXvq0OpncdQMdzNtq7vewHS3q4ZBPzqzuE9+tnCFuXmcdzn1tszg
O6vBmaZAzXDwZrPu+JyGWxX3MBW061S+lI1dM9A0zVPbwVxq7UTvFGiAcxvD9jX6KL/gRctf+lTO
VyUQewwMAmSKi+YDJjwSh54SfkeZkg7+AlqpF09QlsB5YVFxiLJ3tzLI6ohAL+VOFWtyNmCQ2i2U
NlBnBJiXMenDnqZxpqfSTvLFs/wxoNN9hFUekxOd5ZgriNE73xcsyMkMyTgeUMgtD4NXIs88d+Bc
Kz1kkZmmc1jNLfzZCmPTdNKrR9UO6gubLftY+rz7Mq3T+n3EBt9PSRdfc0gDThEyxd7BL/uACpFk
IrTTFfF99YyJSu2J1TSHtgqA8I1ZIo5cNiMiRWWRAtERlTxLQK3sbN+Wp0qM/hHqLIb7n+ILGrXs
WErWfway5m5Va/wZXWr10DR+vYTxADbBBCEXjWxT3LQ8Gi78yMNt2+f+o8dQoK+smhAcYrdMN3xp
cHiASn2gbBgvZ5+E8yLMrAPykranXMJjjQYXyk8AF+p8JT6/ynPj71ZY3R9TgB+f3ZoOH5Hw4QGF
9v96pWSACkkWx1rl4gocNWW7ocFUwHRdMIMmgprsuGrS3VYA0W/13Fm3g7YjOvpQus92GLlGe7yu
V17x8RJSowr9fdN91GxVGAMKgfoBBs/0jIK120125R/SSTNg6558I3kMFdnVIvhaqG24DarVfTIC
lE6vKsGmZDhEmDxaD5izaPOrQKy+BU5S3xC+tE8YYfGC39GAagv61DeoYMoxKW9m+NQwssfS4kJ1
Nn4eST6GXW1CdA2xzvhYxNPkTiauGd8pQ5NLnnc+PWLuT6suGpPaPZhYeKAnMNb7VK2bD2wd1JQ1
LG9vOgLG/nIhmCjA9zIKg79yagJVQ2dPA3xwroExmJO7pFWF3cGMh4EuRll/X+oC5mSQtgtsUEXV
FXviWwwAxNRTSk7J1Pfr/ZK2GLNx2kqPaK/c3NVdhVXrgq4uKnTVvoa7CpXLTjRjPl0D7yj7HRup
/hiStVswGKeWVxDc5XQfKErEywGt9PAkCvRvsDcTbwf4wDOM8IMw6GwaZHIh4jlqy48YvZLHU7bM
LlLjRYxgF52nHJj+ydXLZk+YejE+KKKrEhoaXSsYEkiua9gUuZofCgbdSwYvWn3XLRjRcMJASwyP
jBIXR1dBYToFfLNA4q+TGuF0D4nbuu+ATV2U8YBRrBgDhpE8C8ZQfKgXItWK6UdNG83NHkhLU206
KxuL5sMw8DId9ossMfcKEHnf4TykICgx52WJmwOnY22uKgN+FeMOAdTu1mEzZMFsB+omGcvqrC24
6A4aVN91VQDo3JdzMZ8xjVm4e/gkTQJQq/QUVklvQSiOIlmyOIC/lkM83BChZjjqS8yCyBJeMYBp
QN2eqCX+26RQmjBvl/jUdTmFYX0y8Yg5G3I2pNuBXYeYLGSJkfcL4V2CwmxMl6LeIZIO+ECHCVxz
8RVByKXyYGxtM6EdnRUmciU02Sw3cyfENSWTHB9Bx8IEVLqUv+hpwswYox+1sc9aWYEBlS40DwHq
jEOe5v4UIXnAWz1KDwIrwRSCBRZ8z4rxOBmvdtbZ1WYJhJY2axrRPPi2lnvvJeaVpAVHfMXAuK8D
Jn8ekw6jbpye82twhLCV0rkPbr8i2fBbBTPgQwIJEOYoTUBrsB+wYTIo2sI32tnqzrq2Tw99kuir
vmu7h9H1gz6M8Kph3Erb6CQjzazOMarCYSKuq4/VNvu3rSJ6UIPpLqtckOu4mvllbEE7dhoDTTDT
Rnf7OM7x/0MwJuNpxXylbconkvA+UpPrD5bK7gYKwADxoQ8YAdSHCOOqKgwS5rLHPEgFOxVcDZA0
jue9xMMdFsDUDytGan3LwVy7UwmGbO9xKEO2LpW/QZZH8i9kVe+LEvUFbiG/R9YpjmOi5G5srXkq
C02fgZ3NR8hu1KmLVHNMbFLekjLyOzgTzaeobR5rmEzBs/H2mMSYMNOFGCZYgRG3n1mUY4pnzPIZ
I1DnMt0VgDcvchvjoXUEjLqYYRHjMftQoi25mAItvlaGJc9VrumnCgbjqwnc615Y150zgL5PgM8x
8QoxbbbZ/2HvTLbbRrIt+kXIhb6ZvAEBkqJ6S7Is5QTLsmz0fUSg+fq3ITszJdolr6qavMGbVa20
CBJN4Ma95+xj5XoHfSq2qFtZHNeb0P5iF6ukfq6r9a09mcNTo0ABb0s3Y5RJO7hxD7VTZ0049Nkk
mBYtDe0+b8yN0CpZRzauluXOBSQ98ylNU1gAZsl3wP3vpX5Y8LkhDSzuCVztzqFyMTWD9EOK2VNr
Fclp1TbiU8uuLcUPb1n6n7x4x34TaD64E00ULqbvXDvJOsf8uE7+dwa+MLnJZq29wrmcP0nlt7we
2HnuGhmjZ2pixzpn+NaftVjlyhWxavbn0yDbp8IUUxYONArVJlPl9EWImWeFh5J9mmzpQz4r5k5q
w0xNbetcWae0mRNET7iwKOYRfn7FiabiXeWl4sye2b9tNMoREZVxpzlbratQ7eqLcu7FUJaPXos7
rBisISp1rdMv5egZt8zH/ABdzwpOcMWYljh4Y3HK6leP26lLoc12U0DpiQ5Day6tdDS0UMarlm6u
dKfd9q3CI4CmhJsotNMqze1C7RLlMgypcO8XFGn9dt3GqjCeO7DQoWPV8fJQQzwtrszGGIeIXUVc
sKQBm1zasDdkUs57Tcd9bl9Bio79TWF0mfW5RPipgWrS/CmPd4y8oERfFGnjNkHIbnuyMaovaTVA
COKF68xRygTKL0E685afAQzMcVWczX5MSyccJBuw9rpUeEwsGESJDOSul22XPYBXsJskGnlUGITg
ErJwwKmpa1yxS6jV6oOEWFB9G7phUg6crCKr6q3TMS27xUDH9ARDZ76aSvvZ1vT8OpdtwXWwNQRP
wDGB0IzMX6aen/+10gJP5zwOeT1HQQvu5cHpHTO9/d5u1dp1ZCDKYG1umkY8tWcELKzDdyb+6ySD
53DxnhM71icodaALeN46YwiyRwmVQ0theWGX0djZxvno8opgORb3MqWh4J8LCsrpUs8DfbYBTgyy
K/ag6kyuFq+8vMmfLF/WauUCCDnXZ5bk5y0bsvxMcwiRrcB3uLWE02bu1kVqmlmnupTd3LyYUqlx
2DskoEdaHww7QrsmKtARXZjIsSjd24AVcw4yiijf3mfCw5Xe0kdV9EKzEFEUwGF7m9STnZXbdkQz
E9A7qBv/fKH0gzOolW7MHEvFQSs3ht0F9tabMdLvmdxV960vy48a+hixMRtMcRtb8uxs0YtUkFNW
0gz69bQH6eYOAXyaHqXJtFlWIgxGJjm/6ORPcfCqa9qdcOs6mZ2/IGAK05UXuQFYettaFXIrBcjc
arXyNg+m0Tt0lHCwRsCqAzkB/F7vXwAtYvLbscZeo4rndtFBMsW9XcUbl/eojF5AKkOmjRMFAugU
KlB2iHEOFWHfuzZ0qBhw9pO2xBPOfCMZO+PGL7LCiQivrL/0OiPozQtyRIfdqdiN9DlWWcoJKEAy
dQr1nIAfpeNCRW3W4QvIA/+YirVdJRHcf5RmF4Cl1O2m2dqzPpwYQ+M9lqq0aVh6sZngm1/MzGGH
6s3DZeW7OsgC3ZHiAfECwodN36KTC1FldIoCyTBRBtHcukzYeVcbu6MOv5gYmU2Azv6CPmjJ0CBG
lw72CNRxbYX4wpzlEPm1EzBU+hvrsMBG0jYW6riTri2h9+NItp8WJAfcG38hG2S6gH002ul65mJH
dhD7wfaFzaAhP6J5mLfJucYyPPzJ5nJMPwC96NeqyzKzEyoY97S3PbCgLJHWvLeUnd+8cBEQOibP
35kIPhhbBGdQRjEGL9m0+YeHMMI45ydgr2O++w8PYSqc4OY7CiHIm/Fg0LTA/Yu65dNo2fgbXwAI
tZ3nCAz/oh8Is9Yf3BV8EHgoCdO+XNDYD8u8wcE0X37nHJhyUNiyXhAHQaYCdXihGyD2XhB0/oQ0
aGtvNnfMeJiU6haGxyhRlmLp1XAsZJtfAwoS04BmrTtJ68GOKdu7cfIEumFR8yuZ5//FIagowK9e
IwioqSEIuEUcICgpugwklvJztFO0S66hUprDZnHb1t0WColcZP1DHUgcBHFHwAEzHiYou8786LFa
qLNJ1H0bvcIJCM2BgfgdJVCZzYVVxnB607LwEPr8AhgwAQC6Rm0HmSPzzc/4WmTNpMDDBf0zKQBu
h4hBqmd+yfp7RArQ4hTWJ52rAh643YDXe6EBZAGahc0LCKBBI6JvvdGZ2RQEJr6ELtadalsZeXpX
OFM/hrw3qeqozzGu952/njf3CkwAbWjLbOLLF+9+h04i2ShZPlpD1Tz0gjACsnzoPaKJROqEY98O
yv4x0UZANbCFNPioi3HRSww6A32XP+sE1DOIUQWYLiu8KyFFcyqcDrfG6sanL+CdaLHu39Mxzjw4
FYn79OK2n2x9uFH/GO1z5Y9rtaZXiF9qWjzeMPgng5XWIOsDjcKpyoJp/8pR39PcinpYH3bYWY7c
Ur78MNJX+Wg8QFGcHoJYGJt2kDrmR6fYVn4Zf0MYrIN3tMVHn3J/b9ix8dSgIX/Q+RNn87ftHdeM
f/HW8Y7EWFy3Up/jjS8a3UDks1zjvS+oaAyc9t8d7dIfrMj3kJfw1+djZ/YELFRG9MLS7kgzWTZT
aoDM90v7Nk8tuwpfiNltWxsMs9BKFpb1ZZZ0//stKCW76594QYEyjphi40N6YEfbVO1Nbw9Y+q9E
nnas8hDMVnVR3+HLZsxP3kHVMWtgZNhc2TNimHk/mrgtzMhq9EmkB12mkK4PSLFn8THOptH54tR2
U8Db8Sthw8rpdaFFvoJs27N4FehRcMaicMgDI3P1COmcsVA2+vqchX3h9vp0kPNEF3PjmpOzs+16
9P9061qwqHSgPKeSdcxJdSeizkNpAPLBTRIkKTYqKQTFlPHoomY82jw0CNFBps4qbZuveqfNaxYA
bX0PtV47zkXKzDFLCvQ+bQIowwSKX3aMQUCQLHr3QYGFZQuTWZPb9/eNP8Yqjxil+uz7MP1kU36Z
A9eTTTSMru8aW7215NA9SegMxgxkI4ENGY6NTUm2WdqUleEkxuiYByEd6/WX2G6iB+U+TSblAeTQ
ksV0NlnsF/w31OyeO51pYmDDfJbPAwzCcNID31O798dzb2fJTA3RSuiMDlfPK6PK1bj/WktAq8wX
Ojr/r1XTri4g9V0NYjl1z0gZxLYtEW8pmNdYFbKcEd1vvsDbQfD6BRipY3Ml64kpIUOht18gc2Zc
REnmPRffvwAQ6FWjURUBgSJ7rWEu9n1S+iMl6fr75PF70s/rGIDXqQD/86+yA978o/8mqeD/YAgB
gUooSf4emq8pB28im14nL//Dcvj+Vz9gDoZh/2FYeGf01ZDs+A4f+FcOgWn/gfedCZtNngzmM7xE
f0U2mX/oBjNcn0E4vnzm4n8DHSwQEBYfCLjbR8+AquHfAToczcBfpvwYenjePEvH3LNmLry+mwUy
+raTcrqsRwtT8sibcNNYiJbDwhvVB1dz5tN8UjVEXL0Qj0S8qI/wqScUWEH9gxrCLUJq1o/b7HWA
1BqI9UY58qJxWEOqmMAwmHdXd9UrnY5dz20RpFJdml1tEOy01PFGeg0belD3aIjVaMtHT7UEDBEz
JLoQWRKvAiTOns3b06ufAyH0Kz4jpbAtS+MjUg7f2M+uE381UFhPv3kWzfVpfzWpf1FJ4FFBWoOW
TPfNI5WEndGaQAIoLvEQJAkssaX8qGzeGjvhzY2DmXgy8ijz2AMTV0M5NRe6ta94Dxu0hBrxnE7D
YISZ1jqQpLOG3VCV6szKegeuW7KGORSSzjIbnCFiKBLcD2l3hmsClje8C/ci61PSs17dxb+4Dj9f
BpYY3eNCuNwbGJ7eXgYPrjbt8nK4xCoc3DeJb5gbEG3cGm0tp+tx6oPbNjbKh/cP+3ZhWxUgq+/T
s/Cd46Q3rfVrvbr6NLsSux2S+rL2F+MSTbi8ZICPyj5O798/0rpEvr5q65ECLFWrwgpXkX90n7U1
msKO3vol41r7M6agvtzHwgc8VLTpVu+QK4eQnH3ytixnrH530xwLpPiVWDwdEB1ExrM6HB0eUVjG
C4SJjdcVDuZyCUaSsOdyj1FhAJZGUTjrXPr9WHZgWbui8b7SQcBjEsz2+eTSAwitMae7nzNh/0jX
2LSiFBT4V6LU2kjXGDuEDiO4/oS8QNi075894+cLhfyIZQN4B2Y43oVvL5TuSqd2nFiDlxwDn6Nw
BmqoFaK2N9aMf/d0TLPiCVk6s9alQ77LSz0L2YZ434S3LE04p4lHCZarrxmiz2fltKl3+v6XRNV1
fJHxzXETubRTsDs53uote3U7gZzMdBTc1kVuo/QL/EgE6bJfHU3BTihyjKgWdajBs0PsWZp6NK7q
/WD27b60AVwXZVfdtFBpABKWY/JpBAF/mAcKq9bp2o/MyfwoRpMaSiDKGeZEi61RnA/15dhqAxsp
CFdJYoC0Z8ePiMhUaXXCPKW8MfPkOmE+Nm1K6XWXIu7uhFlpFqxmkxNJKBJrgy2XZaOPfn5epo7/
GOt0b1PXN84Xyh/S2vSUKpZ7Pjtofg9NbZxBZhmjo62Mqi/twCxSIohFgFsJbxcPnTzAAzHvuhR+
zz72NFhuS1rETwEWNlqYJMYAWGeO3tJ+PaD4bg9GF5TPmWpdnnurKm5hnk7eRlE7nvZxL8OZ80A1
bwZXzAumLTVrtzOMyVDbEnEgA7sRu0+oYBxuq8Hq6YoGV2nMoDhCuCxOeNWY0GkRDFHbe+UDuNf0
zOyD9tahI7WXQa6ZSGKr5bMPuG9Liki+7FRBdoBGUf2Z1vr4DQkU9DIES7qEDmqqZDcJUgOscRwJ
HlTS3/VNnEalsKqTmn+KzNPuG040E/QN2Plcoy8yIu1qnIlwCVHGoSW0uqJhU2yTVRD4YbQMO8qG
HrVMzp1EWoMYAwDCljeduzQQyhgZYycIxWMaw7DrOY1T01weh1GbXmCKPUt588WcK7CTPb1MKVv9
kuwLNEU0p7plj3xKxOhQMqQIuVk2tzr8g0M+WxYQWa5BzEBGD+hspcw2ozqOeR+Kshi7LcSARCeE
SxjxVdrpLsqCYvbGNJqnMhDn7iAs7qgRiP8whpJ34c7V0jy+Ujw6Lqh1v4UsZ1gAD3Z1mfXBSvej
5bKdmE6EWhwYAfuBGBU2YrMYjwbQtzHejaUH6XSIqQp2Tp1US+gvDitmbRYr3jDttRK5AkE+13TD
UDc3SeZ/I6/HA8imN6ZAfONL/9JhAhif1pYnPCcPazJ7lvlk0FndGFYlKdD1GAhetwv6oc7Iu3Cr
+UQfhqoNHRNiYAjenlCXHnuaFnJZzU9aWy1GRDu4qEBWVrp2xXhEQw0h6voTDNegOgAMFOW2QPp8
s0gBBzmnlWaQv5NCIGa4ZqZiH/cKzCwvY+uUnY1Z7GTLN4AAXybL1jemhQ0J+X3jReWjn9lqPCo9
yiwDVCjUrjJKYiuREVllXM7MI3SO8ADwAV/ZZAbgJPkC8KZB5HUHQ8/sEyr5wg0RL3UWyYJZHC0y
hofLBrwNcPKNOQRA5NcLjYh80c70FfpptDEKAi8NvHZrgB9pDmlmkClUBGtIx/rvNkZA+4LbJ0GW
Oo0ZTV/mFdqfPeC7Gc8Iz5F5aSxQSwCzK1uz7uZyNOWl2wZzE9Xsay8cWfNKSpA88gcBTXQiRDJE
1I9MQur0tMNqNu2G0VmyM5zd4s7OTeezM8U0RH0QwBYWE3RuW4L8Mr48Gnj0gBaW9pCt4TbDVvhY
jiOVRZ7k6pZt2/jU9qnFZGRM4q0PJ4kZrR/zOU7ZYCyte2VcMnuy7A+DcIw7QzBh2MCNH/xQYMeb
tpiY8uykZ4THKN2jZ3mVaV5wX+vdenPmeTeQfDKkw/U028IP9W7k2qRjzRdr0FwYZ7zBgns219zd
FatkH4GtnJqDGILYvM57VDU3pl8H9mGy81FeiEmsxWc6T9dOobnTthkrDk0e3MJwwCR9E2GIt/74
9auPrE98LzCTl7ZT8ytkhweFrNOmWMKgUDw6bZkU2Yca1yVDU0lVkPDfWFNNUadXnWHP0PusNtW5
3Pi65UWlpaAxMl12jAlRwFuESpHexVXnYQr5RSwgDEnWOlnU1T1jk+AUrXMGDZx2MvcF0+fPY80M
gFlGPt9YYtKHs4QyNz9rCBrJb33eFvuh1o3LLki6Rzgabrea4zLztPGTQJ4BSqFnNfdex3ATifW+
NTmt6+h+/lKUhXM9yQESbwf0qPg0ulUynDAurb5hzFrXkIw4moh9gG9tM9Row64FRvNJ0+NqV41t
QvvYZpmb+zG9yVA9njGTyp3IMXsTx0jp2LyOUjO47wHyJNvSrHlMFi22goNdN0b3tWJBnk99g1tq
i9KFeyR3GLDsGLmoLS+ZsTszemm6YRyUQvGmtRQZMH2X/0laYXCnzZTpp0sgeuMZWds8AJkzPIVq
xuSjpspYxVAjbLFDy2Uh74OGDQZopcTFNHsME9TQbXxQ1nZFU+NkGVeRI/PoYdm3ZAk1F7U72eea
oGG/hctTqbMEB28a+s5QpXdUIiCT0a+idPSyQW2KlJzUTTAqspdqhnG3JQP+7MFoFstXG8Q4xfyx
FWgp+DAEQNsU/3RyqsXt+JQmuqZwTYIkPWSw2T5MgxYv+54ZOilAi+QmzUyRW9cw4BfnsnLbdVDf
Kt29sI0UBeJMdTNsR3QFSHL9GioqjUbitPxhINxqsqY+UiWCnP2C+Z2vak8ksc0QQSEjt4zFP9E6
Ne7ytOde400X3HOvV4TRBTWwLGm2Ab6xKkXgMMlHjMGjb2yKQnkfHSb5YzSibbaRWpXgC7oYoBEv
d+5oEi8sriYbh3k6zyxifs+9vk2ta1QppXvApc+8KZsmLbkoSOcZo2pgvLehGpPioixjvn+PE283
pH6RriGe+mHubJ772UW+DBwl9S5eqtJ/q5Py3zRJ3nRb/lVL5v9gJ4UC3Gc7969bKYdm/PwapPnj
D350UQL9DwNPGMwR23qVeR0Q5GizOgCQWdkQqJH+6aCs+Y+sG2xkMWbzd+xh0b2/5GHrf1gu8j0f
Rwx9lPWv/sqx/LE3fi/0mqb20T4jIIqbcsnErQ+Ggdfg230GWSFC1V7mn+pdRQcShWk0kol3M1lO
8VzVajmMgDe8EJ9xQk9/jotLy6r6xzx3B0IjvEG7xgJEuz8lSOXaxkF3XyxmbJ913LpfUpHlyQHZ
XheHcS0tQjLQD+wk8ORtPJXe/eyI8YPsW4sga17J8Wma++WzUrNzrjrp36dTk/ebhQFItRHs5Jmj
N1OFf2E8EKmVAUQkno6meCc3LrALEvIqy31GrV1+rXXvQLLhcslUVH0SWWffFLEml0iqNv7GvLO6
SrQXIVkK+wVP3eOCtOCzHSfq05QwkjBh+H/TLAsJYpA4iA76ybtGfBNU0TRbw3XuJNPF4vUEbQS9
PX9j/K19AJo50gBRVXKpNBNtj9167iYZfHYsI3l752aaF6jDUJIGG4J9089Lm9QnjJKHraPi9JHi
I5lCyyeXePAcRmVB5Za3s5GmV9KRB6dBcL8CdZJ9AqwaDZut9npDZREtVeXeVmmygAxCk+4RlJKa
ZKsYJjm4aVEbwLYZYj8T9DC1ITxBTw/TUskzHJGQfOKiIzi3yLf5AAWQoTUBAWU3BWc9QhOErDPp
J3rQ+kgxmwAUBYLCG+VV3Ukyp1Tumj48pVrsCzSuVdmEDLHb264cxSm9whdwKicHyrHYkENSXhmk
9OkbUFD5FWkpjQTx4amHkmHJxpUUOGcGgPN0ky4zIVykHQWn1gp9i5JqzLflQPRIjZAyRDXWAXhC
8BHZ4wSFXM8GcSryip6ymxJn44v228CnyBNdLB3CQ99qvqEpLNntjwBKgBss4kvdW652QnBCeR9L
soSVhZkEL2ZuEazrqs9Ym31kvD1Q5LZ2doFmMbbNrc6CMR9Y6LwoYK8WOgn5facX8URQheZnDS+X
RRNi7xkquxlnL72ukIMb5TNX14SfnfIy4dwSdQTp/hxE9Nxkl2yEqpihdRdElYE027CFehyd0T34
s2F+THyOwY44gvpySy+T2qC2DGzYhqHqk7g22h3AWuJReEJDRZfsdBY2OTRVUfF4r6q9pg/bpECN
VxsEuge8vsHkVFRZRgyropg3mifMbTYFEskQ/OiyMM5M4CUXjLC8zdTYwFSCE9KYHXDxaH/hR+K6
1+v5xJ06zrvEfFVtFJaLCAg6dyDOHB35YDO70TBIK7T6ONjhYRWnZtVXpC+RomBNwXgurYXJdFcV
+86RksSbaunOXHb/p2YuK5Ifa7tG/uE6e3JJxI0WDB+I/Ow2RZN/w6X3cZWau6VfPPvk+US5i96z
gRFwp0k0f6RUeeFQg7/PJse47e2CVcuvyJULBhvrj5ujd6BPyEQt8dn424JRZ3Ft2fV9YKM+hUyg
NgwoTnKR3LhunW6rBssKXZQ6zDOduc80lP5Jv7hVOBXuerab8U63rDTS1RwAE7CXrVm6ak+Fat64
LSoDlqdiO9u9cyAslPwNaIPTJoHWc+EEhb7tpnw6nytn+WSVtv3gVags0wIKwNSm6aknhXeHf1qe
tSOJbSxSA2uK17B2bDIaXF/IUSMaIS2gd6+6IdokSX69KNbGImn9k2YBUSa1ID9HVxWg+xiSaReb
BJ4J5qohFv8Eo0LRXVZSZXuPnvVZ0ZufcfijjUTRu2O3tGyQSQg6JEoHacZJ+TCWabElT6IuQzcp
OdumlfOg+loQfMmymZeIb60pTojoppCGSn2OpGO4ygd/fFaYoLZszJd9JUx9q/tkbOS2hzJq8KsH
OAX+NeTfdg4TLv8DllvUBFIDgD7VVwbRkdGM6ePODEzC3dglPdLHsW89pEwfui4ltNbo9F3Z2vJC
LcI/5LqNXLwstGILGbZk0U0zeQspvTn1ESh9tiiaT6CVjOfwdusL32iHExBIxtUAaSScRCd5qsb5
NjEq1wcYZmSXSHHEuQ5gEd1dSRxaSm9A5UMBS91nySyTKyMYctImtOxaK6SHtkyBIUlY8yMrF+Ya
ZZkuEKDadMdmobrMzDL+mIK0YkQGLPHPOTORIyKwyc5hvA8ngxljclmM6amCLkWKZLvcWcoijinO
EeSUxOMmG68bPnbJaJ4vKS6oZWxUsoEhknO/dekN3hTj1kyUSfFPzPBMOwh/6CzST2hj0Sgs7nQN
fzVONixMAKEzKPJp0ZV3Vmp79CdcY9riMWHbZNoLPV1YIwQsfBByRtKc9JYhxIPeoRAlrscd8YA9
0KEv65Nm8vrsk+2YcU1Ia+NK3kSF7udXS5NCxK9x6myl4XbRbKmJahmi1bMvlLuNCxxBoBdYgpmG
G2rTr9JW8D1yP+q4e6ap22f0lrbcpPGBS1lGsq7LD1Y7ExNRe6cyIZSlc0nD+//6+BU3/vNzldU0
C0WffRFvyl1Dt8z36uMd/f/s+W2J/P1vfpTIvv4HH6FjqYZGbDovM40fg0bfW/POWfmgkRtYodcK
+q/Ac+MPXTcCwGt82Fq9/lMmM510TDr8eHIZcJlu4Pw7ZfJRMx6n7Vok2wZoCf4nzIG3RXLC5opE
BGKFTNwBIiyLgHYifrrg3JZwYDYIv+vzwgWgFAXkeUWvztUvBlpHAwtaRUwTfaj1RLc7DGLXb/dq
FIDudsFGOZHQIk2FxLByAfaYZTRjUj35Dw4V+I7OcAnr1rF1t7dyZRjkQ+1to8cialLaktLXbpkC
df/Br+JUBuxmsF+xBXn7q1iyCgSKtsCIOmU0pJcu6gVmLjF5v2MlH+1xXk4gEELd1i1uChiXbw/F
9FUWpcMJDLKYMexs0qWS7rdJuVFSx3nIKxPLPJnwIQO15vui8C/HwtyDr6d1Pw6+8mC5i2k5H/1O
MaUIzVuKQK2xXWLvpnRbIxb99/zuHAXuqgGKFOggqgrv6ChD4luD6mK576EFwd0wa3SnztR5apu3
FQOc9++Toxnry+FWv7sJpYbb5FhG4nSIZFNDyH0yk1NGSfIVVMQ3P2mqDbSGMxfd6G/Gdj+fRvgZ
vLkdG1i7oR8b+uO0yEdKd7nPdVJJoB6RbqkHzfb937Weplej1ZffZTLzYb+vw4O31kfx1aNmyxhX
YVfIvZUpthWadg5d8IqyG2utXjm/+U2/Oouvj3Z00VBW4KsE/rn3MTBsYvyDiSJnqc1fYhADEpeK
4un9H3iEeHVefuHKfHcsJvvckEdL2ZzikUbLjOs3de0ru7EJZcWneUD87p+wtSwi2d14avbDrrSH
Z1fo/il+gBOS0xtMioHayskcN/3otV+mydIOM1ESGzMW3e1qu8bskIRG0S2/WZiMX1x/5EqebrgO
uqGf7jh/SFyzQRi2zyAcFxub8CD2IpOjtph3V+QPJtkWchVlVNFSZk/2n2QkTddIi9tLD6UIOUJJ
cEWvNvnNs+D88quxPq9POKjFY8FBHsC+ZoQkmM6mWzNOnQhZwxoK74otYMLhI0Qydvyji7WwISL2
FKhBf85IShVRNQmy7HCPIEvB7YCgcWMxH4nimkSm2kzms0Sa/aXpLtphKUht6lDcRqjiwHri/7yX
DEfuBY6jMGDOEva25u2AwJIZafX+VjbTqSh6ANRaSVUfO7QcSnDMdvGRJuVwWdiEHc7WUux6i+qZ
gKgr4jeXky7z8FPbyCqnuIzPdXT6n7S+U/u8LrQV+PStmK0bgWQOeXBSnJC5Ia745Hr3/t368wPi
c8daaI9s3sHeMUAVW4QjnXG96EN6Sb2cIqfQD0Y23cklbrdSYqD/D45I5x1zkkMkxXH8SNBPCo9Q
IfZ9HKOUtrelkXwJavu8t5gj0iF/eP94P7/bfYLPVx4vUilKnyMFzpAECja/FPt8xvNmKns8JEi+
t77Z/w6B/PNt6rONcU32ZwG7zmNiUSIdRWuq4S2IRPOs0TqDtiZxiu//oF8ehagdyhSaiZzDtyso
pB6tEtDB9hr6zh6DVKCdMMfzr98/zLH0i3WMX+MbaFGYxnu8/d4ep2AmaDDuY5Q9GU3EiJiA5KlC
wzRAdrXjAfCoxY2vexbzfv8TI5d9Q6jX75Yl66cXBqI4y4UhYTgWcrmj69d1bOqBHUKQoJu5HZl3
7xh6ip09iswPLXuxD0aNjbHXm69lM3o3RAMRU+fo6oJIA+uU4fpvKd6//E7IcHyEWgE169FrJbE1
DU24NexRW9cHvSewUpcMuGrRXcZDK8MUo/FjydSP/p42X8lVukr4CPQgn7Bpry6/wrlTl4U/kaM4
/imRMoRdJtrbGUbophWZc+IAaDytZ/zIuvhdcWH+8geQYABhimQLrABvry3O/aCa/ZGTms43Se+1
OznayceUVSxsOy+P4oGs2spzBW+svjplhvzZz7w7cGfBQbZxHGI0UVtGjcGHZvGaO99evi5ODKzb
T4Mdo7mZJneurVvuEioqcYu/uTuPNFIvdycblr9/wdHdOQqsQ0kzD/tZy5PTeAlqVO4TzQxNj0TW
s8hLDKZ5rh+sZlbh0GJQef8rvDTu35Yy3JmBrxO5Acjqp+Qgf2YtQRw0rAZOgtZk6TtPlFXXnj3U
mMr156ZU0yePZIgvyNSEVEkICCKNIEdgEkqGnUnccdS7TClx1I/VxjNlG6YccD85eEXsPDG+zrVh
sFR6t55FEwXad+RqwSf8Vjj9laOf0y0pT5am+ewp/dadORBmY0bFaFCc35zzn0s3DD86VH0qhDWa
4+iUO0CJ8JixIHR5+amOcZXnZaQtOEybxbF+Uyf+Ytl2KbnZeYJTp1Y82lEQ7O3WPYvOnt79N/LP
geMbKt/YyCt+c6T1k44uI0daFZq27ZItcfQwE0UqCe50uJP65A5ja/KJvi/klmpmN0EwAJNO3dX8
U6IQfoeY+sXb14UKs5LeeDFReL99DAkJ77DlQseR3vyIwPB68rqVo/2t9MQTW143ev+Wfak9f/qt
DiFQBpJ6OHdHlxCT4TBlGbcs2/D6RlrUPTM54HOdqhDM/lcG63dNVk5RMrcUN7TUQjUkJChTrbz/
VX55MzmuzZuFeCi0lm9/eiaFcgAADPvRb0SkryMcG2UUvM4mCZ00//b+4X7x0nSRBnGZDfbebPLf
Hs4FapRUZKDs57mf9gk5MeEC+vc3e8Rfnl+DTgZ3EqeXseLbwzDXSYidb4c9e2Q6smrCdljjUHBj
XzuMiNzIz8YKCEi7JJo9qUK6ASVyKu1sYZjzm+f150056tU16Q3ltuc7x8/rOEtnAQbHl1GwhJBU
MsnuFzgVM13nCqNvO1QEJjOKIFVP6r95rI5VoOsKzbrocrKp21G4H91rAt+9adV6v58NO31qvV5z
sOck4mogUxpBottAa4EaQICnNgdItpXblU6k5y19zKrz0iIcAX9fqNTCFm0KIY0QVNPw/P6d8YuF
hgkwdEsefeqcY8pbyhRpdmq327tT3O+kjfLDZjK0pZbPfnNKfnEotBM20mLyXH3Oztu7gxTmoe2Q
wuzFElffbGv2PjBGrLCnu/p/8LOoQcF3umtL7adVra3bhQhzu9s7ZtZ/AFbj7prZi89Al9NF/HsQ
/4vm2S8WMY5EW4QSEbHvcafCXOKEPHCOlFl6EsWibm+rBFoYbzcUqlNlb+wGFNP7B/3lqWR/TcoL
OS/4At6eyiTRoe6kTrdHxaTCypkYM+aVGfU6rsP3D4Vvhg87WjWpNPQggPVJastxxe3jFpfJYnCL
2OSS7dx5BjCVpfa4kLAQr2OYfjAjl5q8DDtLjdqOnaOctgv6tupD5Ts8XJlFj/EQD3N5b7YKVRPu
dh/8Uwn+YIPEN/1MCqV2UcBkHXZJWib5ZgA/j72bn2SFZFOj7QyUMxq7EXn8fOZoabDPUFYtW4Tc
GPmTIjXuXGmicSztyTF3pAJM7tbCc24+BPAbqq8uDD8En0Ae3PRsSuEgrSbBPv04lI0xH0qMvfCP
MqOCb6u3xmm1II7ZD7JQw6VT1dIny1zO8Qd3QOK34/9rIzosQEbTRtpBAb22UHZy4Xu140USzgRU
bKcrbxX8lvi0r7XmhIwSTBtz0puQF9LsvsKai4laovY+APVN2tCXwLV3M4HoybYCBNaf54rtJCCX
oB3L/TCMQfG/7J3ZjtzGlrVfpfHf0+AUQfKibzKZc82z6oaQLInzGGRwePr+aLsP7JJ/C75vHODA
sKzKSg4RO/Ze61sheql5wm+K+vRSGsh26DuUjR02pViLq5QUns8eIqd540VMwRYfgvZjIxD8HdCJ
ZfPdGHlEuadu1+/g7QTeA3ElPgONWcfDiSJ22rf+xBDexSAJAayJl2ULyCs4VB1b1K6I1vYfKL+A
oDcl/Gcsf8V2Ksra2SrINhZk0EYcS3+4p8+7H5CwvwLXKN4Kwzcfetjzm6jMpqMxZ8XOaYPboZgJ
RVX7KfGqB9BmG030xA6HS3ogKnmEI5qX+3jQZ0fP49Zu1Ocsl+5GDHYUDtnk7BFgfnUdY2S6Nyt+
h847SFgkOzQc8uASMb+hYl4gQQXxRbnN9MXrUU65w5xtKk9/XlopjtpB5aynmdC/4gVj0k7Ctb4T
QdntQE2ldzkD/e1gptbFL4vkGhl1AQkLdbtKo5dpccRBGNZ9muIEQfUYnaLAZYyX5QNFhfK2BF3i
YlHeco/z8NT2zH/Ji8ejt+S3ECDQobrdOZ8mSItmDrqqZw6bAfDAa8RofWTMm3Jn7yLffUDaOO2s
0U/2y9ItW/LEhzCyZ/uwULo+gA5q3itfmVdV4vnh3LcynMy++y6NttoaPSYIn4b1watrQboxKjAP
IPyJaAP7pGZAyjQpzjZuILx71j4X81uJiPKtSqMjU+THdJjfELJWu9HE+twN0VsJdqTjDSz9kx68
aq8NuHvoqZ/ywI/OKnKATMa1vzMz1+A+tGjJswDTN+eGB+IU9F0bd/4DyAr2RUddgQrxNsWE9nY2
oOW1Y3P0nT49gt1Gp176+rurCFiHVIhwJMx12i8zPoOWDECO5rbZoZCt0wAWV028wcbm4XktbdOZ
Qq/lHMFmyiKRxcP4qeHa35Dok9IeiaqNn1u4UIljMuq+xme/+Bf+od5NvBC7SNhiVlf+PMaj+gSQ
xFNgQlAijXm4YIz4ZFjO3sxiNOMGKs/m4Bl2/evkLXlzdPLCHsISRQwYqBq9ypVhyD4j+dzHLF3M
Whhn2rOmoknbItLtuFKbPq+KcPFL/ZTQ1b+zi8x+isoqT08jQSg7gTr+xhptf1+nesTD29KMS1Jl
gpmMqCeDoG923mIWl4ZN9teeWDS5K2YoB9koUudqIt/u0dV59D2guT9sqQJQ/DWRNsNl9qdn5kzl
967pmOvPpbLekSt3IUc0cRtUdvMJ/fQYIheeDz0Vy5M/u9knrfg5s1Gg9e3t9ryswWPpVLknvD7q
lS4cY5AMscxqMOFJSJygfSNhpv0VBl2+zyejffNaSAWQ5Hri7BAQ71M0kq+iRk6N8GAcQxmJsg+H
RfFyFLYhEIy6eRhLKbYZBdcJ2XAeerSQd5xKg26fc24qj7Bv+O97WBdIW8ZVqC5Si1SkeIxS2FCg
NbYlo0G0OEmxPoPGeI7JS3o0y6TY1B4i2D1Y6MZ4Qd7MV/RWH94lthd+VZnrF21Pw3hNWEx8m/qt
H5JdulzXPag1N3H5qU6THlwzlY+6t8WyoRJpzxKFxS2q0ead1p29o3EmGGbzqsIZLZf9Mkz5njgm
XNz4AePbomg0GSciEbe8RC0vFXeXJnx7zssATHeSNF86HXewPTrrSaVc7zTLZwAk1XzwSf04GkjI
LgaP5j0Z0GuGNCdMiEELQex5m6UHrmx6FFPJjzWwsVmd254bKwuuFq2aL/3cdG864bountf+Wlsx
QJ6FcEeEsMCyzlCaZkwpvfoaoOu4dZfWICu0DuLbKV0hkoiby/krSn/XBylhjw7kTWeE/HdlsS2j
CSTdY2vAWSXGrkqyihVqiNSGNCbrqbFmcQtXOXpuZBLfSDHU7zKWedjDw0D/gYPI2mifIlIMjr2L
yYU5z3AVwxhbxaUr+fIYlqdnkklZF+MoPToNf7sxjfh2CFq0aIlPbNCmMn0mFk5bnIh5RInbBzRx
Qib9qAbLnv8g0oFPVv1Y9GG2NPWwWXjPaWNV6nWeaVr7nlZfvdgV2yiai5PV9etTPiTgWxrk/49A
OfWLW/cDONSaX7IQZv5ARkTz2ckS+WgESwt0thqTW1IqKmuj3Kp7K9pluvOlGl7MZsof0vV2213k
X4nMglruaj4oN+Y9wderJ8Cok1sXjt6TnyXznUnI5XdzqdODMaGr39C0jx4wArin1kyqK+mM/MR6
yR8o2adn0nPVV1RIrnFeOlriOwOK6HePcFm4KUMS1Rv6LarbVNIYq600alwhRHmWBg5NGT24CUeu
DbKjdj6VWiOOSgaepMVoO5ZehIoAA9I2uS3yrLZA8S71nQEqC/jQXHCvTWK24Es6tV9tA9V/r32D
M5M2S7gh5dh+N+rMenFjhMp6VNY3qTNcarx67T2rxfK9trOGzCW7mvNtl4nhG0LpRXDPPJ79puGy
SHZydTDHHFkajmPrabEL4yHoTVYzT+pvU+O392Rt0fhv7Qatzdx8AsXU3lu9H9/CQiepMBh8FAw+
BiSVrEJrJLkngH/9a5umlXnfGb5ija/zUpxqvCTfqai9a87E0b4Zoo5FDLUufdPeIaoscvz3Rfn9
TVQ28UHDgT66YCZPLdvmlYN+bNgIL07vpKuaPa5M9QyPCu/Dknzv45p/pZqmCSPdOF8EAtK92+Dk
aFBPhrYDFFBoRx4srteGiaYb5sgumg1Wr/mBCKvpjiIEcImbRS92EbvbwqgfIc5ca48lEa13ylkG
2NyI0Yy4A+S7Q0IAV9l0fGwub80RpwYuJNYNNHWHyUyN60mCCqtmET3KyK5PwZQOMYsuGi6rYtjY
WsI8Ab0963mG7ca7eW3GY3dVxV51jpMKprJNWOsUMP6jhfo5EJiASKCbHvJaO1/h9Jzb1LRY0vAs
L45qd5W0GnRS7mWaMveVehtiB6k8X4i7Ys5U99B6DfvURrXHtCyhINVZPb/6BLY+mFUy7skYOsq6
aMNgNNDsp219BH/zmf5f+QkuIJAjr+Yi2QZ8YcR+ODe8eXaTlfulTghSISlGBobq0m32CkfKJbGG
JqRCHe9cP4eZlGXqcWgNyVIXxA8DWHigTJF3N2Bc2NCYnkENRe5nzEjyBTtacUxT72XKzPJAuzSh
DqSUAzQyAyFNx+Q69WncILc9Rc5ifUnMaNzDkDMPhNoRxpcOTjhqXkbVJD1ALFqF8TzLC8WF+5q5
AljJVO95nViA64zTaSzb4AAWIfgO6M1+nRqXPPsyWFAtlO4TrK5sO1HD7gVr16WMVPGyytDvZ81d
EhqX+96jLtyAk8aLjSbz28KoCWVY3Kc3bcZjkFbkK0EwqeD9Ns2cbNwSpubUZB32uWQTLL29HTxJ
Qe/GgHLnKT/HY3XsEX/ByHONq3rOpvvFtF97rHJ7XkUAGktGoSYweJO3d1O6InrGLEKZ4ep9zhKY
bRq/Tx98s1tCiHv+Rc3pSn1Kdoko8g1YSXGL0o2Ai2QMLIYWxXKa51pfS2Gw7ZS+kfPCyercxBPE
zMxB84u/bPUcdcgbN0DbeY2YoelraC7ZW2m78kCOd8WWM4HBbhdisAnKMKa7ALn31Uwzm1Odp5HV
DUQZn4MxNR+E5567zJuOke63mhij64K7fFEVbkvl1gXD0bGHkq36K/q+SJYR9RF7F7wFzEw553zu
6mo1E4qFnA5wjTidE3+jdW+9Yd/qTrXtfbEW+S3q6vadirV4LyDqsGgp4xmlvbF39BDvem8o72f4
XGEBeYehd9AvRDJiPaUcmo44xnR6BnA9uqH2TOUdvdzCkkbsTH1roHHGuzd79S3tm5pEKz+LCd8h
CGnhGRUZ0UhZdW+3fnkvU/rIkARZQMmq678Wyja/VCpLvsIJgolnG/zAFhUAwr6sfpxd2x/fOioe
7hspcnusL1AMtSGdU9H47CgBKUnslvTOlgL1OU1//qiOUvuJ+piTaV4m7jnOJ/W1zKEIqEHRRFDz
UH7P3Yquglr66N1UmfWF/A92+trFpabaKXq3cyiGW9J/DdCdS6S+GqIxyo29ECm5W3JRPSJZZ2FQ
yTTWey8mcnfvBmhSw2FKeDwSEp2QxFf4VBM54FQMwFe+C0vwd4JmKjqi5gKgZm5l8hhVDmjCUKOd
rvFeIZcKK1RaHoeYiQ/NUrdSl3QRPedGs9JWsh2bMY33FK/8ZBTg2O/ckfZjmLjk+hyA0lAC9ExI
AUNMZXCVJaZLzlVXUrQWkeQuGWQWIbufhuhddxpoTTzAMUIAL8rv9gD2bzO0DvSFEafH++8XU2gj
HjYO48l0u6g1jMyzEP6irZf1wSGYcEvigMq39IK49PiBq0eBfqw6FGlGuwdlQcoBE+T2sbHoAt3a
rZisPTR0cZlBPD2KEUUFt5B563aMWr5f7gn6IV1j5tlFoWLQh3JG+HEd6F5/15Le6GawccVfS8MC
MDVr+1ChwHwt8cHc516AGQQmn/mEIUvNROy6GIDdgS99tLXJ70hVzm+dVhE3T85TZTD/I9YHt3XK
u0vvP5lD+jJcRQ0yp2eRsNXXlNMLkUQjFfGstPqG7jsrDsHQYZwcgjLNsDOmoEsLk/dnM3I7l2NF
/+88QqIgsKjuqehE4jbZyUQaWu+gLxcZi0uKmpV3igM3mzD717YcVnheBZoQj8gCM+M20SAd27WE
LLzKhoiGNvDZykiVbIvaPDOT7o5jOTj3ZexPV2iZ0hegtePziHnj97b6/3m0nubm23//v/+vBtWR
yCP/1Dr9AXfz+k31//WSdnFapX9Rov7xN/9QonreL8iLpERTaiEWxID1H+SNb//CTCpAYceRj9b1
moH+v8gbE5GqCVnJBxOKsmptwv5h2HK8XzCHSBSVkvrcJrTl3yhRpf+ht7xGqyOYdNnJkRvwW37s
LbPzFFUWJydVesOFYlw4CIUadcGV7dJb7dnk8sGxHpRl0BmgQDExyYBdtcYjq6kBFjkavH3H6fuR
SRzmaKcIXlK/h021IoshIwf1pZ5Eux9kiSBzyhNxUhFGp/2QDdGypV4Z6V/4glw4l5C9UAdzHoqm
nI5t5J4rnzQV3Fxry4mm5bNV4UDeaNGhUZIZvd7xxVKsdqtKY35eer3aUOkvpnodjrvZcE96mnXu
63UnINt5ZNhhFHqLNbZ9EGxSV/wVq6GZ7kE6rY37NGoyFVIOjcfOaevrZZwrvBiO+bp0nb5ksFCe
omZ29nOnkjs7wNBJbbN+84LdaGeXMg0Juyv20hO6wlM9l49xQtgTZXqzzRR/7JmtdYFi9lznYHFi
ZOjXvjvvfV30W3C2NSTDVVSvUrd/zMmEuwNa4NxHcGrYbMhgsxhvDHzjwjeWMBhQoVJxuDt67dZG
Mm4L+Z3z0FFg1HBosZ8ZngeTzXnFtd0cabRfeS7tQ2tIbmOfDNLQnk23CD38w1tXjO6GSm5xr3qD
jE0682gyfbnAOC37YzBW/bOr5ozKK12snaFt9KHwGcoNYADB/RDD1eLbxz4zP6WsYeHAd9nlUf8S
VbNJPdQ9zzmA1mA2q3fQ9/PZShqPAbSfhCKfd7HF/leQBPjAedipKEXqguTYsr3BaF9yqQvCqzcN
+dS3MRRw2rRGFBqJpz9FZDjek9qb7UQsMboszbee1NWZsmVB5s9Wc7eMmTpPAfBiggRwxVnTFWq7
iKAFSWe5MqJ7y+nfgHhynuq9/JTILoovY28W+p5ktrr93MWxejfHdvieMs68lxSXlyxunUca1FlI
yO9wJZRqJdSzkks2Uh5eD7b5Pk7ucGM0trGzR/ObW5Xv3jjWimlO1Z505g5EKTrmLRufBUO4m/1P
fpwMTwuBOMxNo2In2wjR3VKiUjua7iBIMJcUHmSdjuM7Lr0akgiY0GanDEi+sEE7yl3u8k54Paao
CkvNva6XghZaYl5BNCYBfLKYb+jGvhuF9WlRwSezw6QFj2iHma9sjoFMm2DreknbHTRUgIMZ2/JV
RP5THDXfTHuIUJ3Aod91qL+PotDav00AxmyqgGE6TQ77GLPmPPATsI0g/b5RbXph0jWeyNsoFQ/z
SgyF1Tva1ypQS3zwo6mLt1g4P5VwoIaHrp89fiUFnGKI7vSAHKtr84bBrqNDpeW053R1mF0nOeXA
89p7m4SG8ojylqBIn4b/JXfMLIcPhU1wM5m1uFbCiXaeUyenpIysXdv0I14UwwitRvqvbgcEZ9Mv
FwyfxjHuVXLI/QK0gbSNvYhmINbmPO45Sq/hI0X+NhEgGZZZO14QDTFC6UvaqrNFyI9CWZrTnLhP
6jLf0YTSG0mgE6Py3N2SwdGes9yB3j8MzUG7CvkB2TDXI3MvrkC2LE9tYYqT6P3umoa+8TLGYTIU
l8HM47AsFMesdO2zT4bDaam5UNu82WTihjUTutO0RMtO8F9d6DvV1xa4CeoZ15hQ0dWtbYZoIR3v
lEvts1J17T0Bi84TKrlkK2VDjSksXPxzs5B9anCm3gZFnn9aMmx87uSNF+Fa0Hw6/V7k8JATPSQT
/Qt6sIharc206Jtiiefv9Ow0f+p5+0TEdAG9tBkOU6R+demwhBR3zJQSWVlhbZvDKaLy24L8764g
tL+zscg94id9rGi98ZZG9YruaMZRbssy7X+1K3abnYdv6IryLdjr2HqMKZCPjlGal9T0AHBXfnYo
PCrdZOmOijpxY7HB7iqPkAerMvTR7irzZJIDDPggT05ydKedhDh3gSGOaHZNtFCNaV8NqC4vE+bm
3WQXD5FkCuGp2DuMyAZ94Mfp9yGdB2hVnu/irmLtHS3ApASbtacWMD7jqDgnEXxy7jqr3hr1ZM9b
wSt6TWRRepOaE1z3ojG285IHIZNsC6tlC2FmaC9TSboL/jt6nnU3IWhoxl1Gk/gKbEtMY9ZNTt0S
fIGnUp5i0X0FUDHshnz8UpbusDOt2ULdynZjdcnJJyPqOIyFE5aRf6PpKoJzcG6cEsa7z+zufnTT
ct8Z6iaes4eBNNH7MclQ60hkQYxaeRuLm9ijaz3JnMbGlKI/3Eit5F7QqA+Jy41pdwDmRj88zc9u
Ps+bceC6PsCcjuV5yci7vp6VGdc7m52z29jp5NCsokMS0zUY69ncSbhn6DiAYS+PZWoGxtuoyEmG
HufBdoJpa28hT1dIdabcKgpY2ThW5yNTz0fhdTILSaahlFE4c280LUAeK2GR9ZPB3VyzWMpvTGYm
kmeGpYXcbhtJSKMCZ2QzTK8liNKz12fWZSBn4dDOxsi5vSS2fmvNuT6bsIZY+ouKa6CTngQjExR3
yYrp54b8PGd+FlLPZWdNBIizQUpQPviAJc6lWaoQnesOJNu4n20//traA1PnfhR3avbb/ei31t7p
yE8ndoPlFRIOFyif82mfmHH8gg2WFK0MXT+hGuo3Fo17TLvF1aG5AO8a6wGXDbvbQma12ziXrhnK
ZNcD0LDUBhY1PW12LnMvFHvbBmqPn22VhxBzyYvkPCurihlDKT2c0GkPF+yXxsloW0nhB3cr36C/
QfcuGGht69UCzcQQAUmNzJloE3SIYU7gySdFCrYV0tvK7n1g/g9ZwPAD4BSo1nqduzNDnfYdXpDj
YiXg49t8gjZiMuHH/tTN/St9qgBhZmBdlZmPVaLg5r8tTurupRIHuAC0otKFAf3Gh9bI30+jraod
DULIWI21qYp3Dsdq7OUyI/TH8BhZl9L2T27qmq9k+WRI+Dm8bePB8fM95qFK87j05jbtsBiyeC87
h4t0qQMSjb2c4BRPkEzHHY3IPSaCHYtslye7sR9o2XSDsLd9z4CFKIykvGW87VtbCbdv14vkuhFj
sw/Aj12hkRYnmfjYTiv0D/eqgKWzU6IqDm7FoI/cPOfs01XXYQGa7+tEVtd7QM39bM/Su0QuTOJt
Sv7OlTIpzUISKuLgmvwCB8KA99aXzILAKmCvjIW7L4wl3toTrdjOnpduC+VLfnIaV49b5TfdMUUz
y15iB9dFBjLPBkO17dvU+sx6mp7JCLZ2c+vKN407dN7mXelFewP6NQA5c7E3cV92e7LpnIeBUMQd
3CJyImYv3+VuSrNxKoedmLS+LJ4eb2YVjw/Kyzvm8uO0zQTSJ5IZk89ErMDQhBAAzAmyjdw0VtPt
WptmWVlP6cbBDrIzZCL3HOi9r3ZlT1eNSpcb8CrNYzNaHhYeD9N23VvqKahMQukss4hDMWfBuZ4h
a6VeYZ5NcqP2Hs/rxWxjee8s/Qg7rqlP9mLyAYywN5bnNru58ixqfyQBgP2Gbe31yLPyoqz2o2zE
ISP67UTPnMZqUIxPzBqdvWF2u56Erts07rB8Z6W+yTzPvrBI6JAXkJfF08S6aVY+J8cqmhhtQxpN
JvFrW2W9zfXcYlBn3JJ3bnYB5hLtCKoFhwAj61dsNmI5eqSL7NIWrxkA0PGrLCeiQJoimK61baOK
GOF173871P7f+f8n53+bIoCj8H+kYT+c/6/TXxNiXas/G1f/+Ev/a0K1f3EtGxnV75nSWC3/c/QH
4eKSexyg+EWhIVwO8f85+vu/WD7sFA72jkTTth7I/zj6u9YvGE9NOLcISQPpe//KhGp9kLJhqEBP
DkIG5SbgZvOjY7KdDDznhYJaznIAFkvHZTodO4E5P0pM5AEblGxlfZXlljE+/zbYn+jqN+QyEIz0
2Ut1BZtxNjP81PA8qIcYFboFD29st1DvgqhiFWL/ZAr3pyv9NyK8tSfxJ4maTYI1dlIuLfAtsfpy
/6qH8xXVS9Qt3cWJzenBSipj+3ujjrb1DTJK9Mz//IGOz7368JFkg/PyMzrjePKD/N1ICxIx8LNd
aPVc1b1nZFvieCx5yFwyQej3tUaL3IvZYoBro+VM42rP5QA1EGqDu8GqT5GX0lFctLc20mU0LAe7
xwsPPwowHP19bPF4hp9wycJKc6OqvqCwhVxFB4oS2sqjTm7ajhC/rZiIm9kzO+FaG1JPD8VCU5+p
kPiMIJGGTdaSNYTiLAIE1nkRTLdRRLTyfwfESe5Iuy17ZliwMI35epa00jtOvoQ2O4X43DkM+gh7
YeK59I110/kEHW+ZTSJSG9MAK7y1/uZQN2lwQ0KwnyzLWKlZvwH+VJe1nwwkUXexZNAG/C31ia4T
dvPJ1syptrK2GQtPSclvFMzCOc1rDfDctSJBBNQatvVELqalLnaNXP4Gn5oHq9GbZfNmOwO0vb5T
PH+xYvRg2DRZHpausp8MhxoBswCDk3fHXpN6UjVxree+pnFOHgetbE0XdtlGNJLtDQMH/rQZ8KXs
7GyNNobPalI6mBmg4UhbZN8Ry1MmoGAcvn+WV+IzMI/oZZhl8KKHlbaM1LArwzaV9/T/+dGmarlI
6exyF4g56dUbTD3dHN2FTvqO67hKb9K1tZwa8GzDSfTt8jgviEAYbgu4e/TMqcPIEbSfvPXiBG0K
wnGEo38JsNdYYVr0hrddtB6vk3hc7tHYcfT6U/Zay/6NVbBDmrMpAsKgNp30Rg8BoV3s3MiLw0K0
HN7+PouNIrL+HGe9uJ4h4r0Y2gPXp5viznHy+DOYmfSI0MclQ4uEmc9VnOvXhhP2RIAUjyxRRdOd
HjVIwSQbueJAmPL5bE+SEZ6oIRAislP9vZ0uhgwF03o0eGQ1pNsxLWV3a/Ycp/egQgxaGyXDCRIj
ZhddlxNmPJH2r+OabbhJKWHG73M24zziH8vsezONE2oJlBAE2gHEJNFMfFaUCviTqOCeZnu989A5
WrkxopF7m8PrKdG31M0nrgwvl5cRS3nImxqspzIJ1HhTkZgeQGnzIhiLx+qY2o0tD3lhEqRqLzT+
o0l1x5hBM4mckT1BrBIt+TRghq6cauDSe/XAp0jSBZiL87YFu2nK1qFKsJIGB9HVlyrJ7e4Jeqph
vBiDt7RXVOtGdzdPAb9JMaNPeibgfA6eqVzL/IEsge5IhktHjqt2nNOi0XGTplZyLSlduZaTSdYu
krCYC9GYZXcEFgefkihh3p6mxaWAKowHGQ0WN642SNkAA7u+FH3n8lNIRWUNhe5kP6UDQretb/mJ
fJsKf7BvsyhgofBjC5Crh6jnBhIvFbZflHwmkD2Enl4Ud2ADrQ6JK6rNuP9K7lWfv3asEIy1pmgR
3W1dVhWgE3JwoHd5RWx0Ozu3+EnAGbKzaj3ueV901k2G3XZ69Sm782+CgQg5Ue5MetiuNKl7bkv2
n4XycchiMHcV3R/KypoO+imxnaXbCAtRHgeC2HwnIQNEZBr7N5VjBm+cURmwL9ajp+Np3FKGDc+o
OIxdTtcn5MFYEyFpjdPRJgIqipjplojvNpaDRClEDiGOBvkN41XtZq2RvsaJOyh0GUJW2aZuVo1h
QXW5DqdelACj7JTmuwELddNX63CawnmTJuNEpmdux18KFXnfptiJNpCUqtueAMph7Np5lxfddC9r
L34Xjq525arvqCvlPPhtVL1jOCj3dmXG0dZbOCmZvdcRC4IuBuFay5GXg9112sTFs50pxpKMxPZg
pKaNoadpW5F0tNPwJW91sZRXwtU0DkavuGdZb97p9iSP2i3uRg/i8IHhl7tv53YisJUsVw2i9TFW
sngeS1fFDAGq6ipgA4Px1C7nwgjyve+4mB0QXSrM3HAEU+3UT2w6zVslyiZBWaWqPXDq+jVBcsGl
JWiFbjO81a1E2HfTyMnZrHmfoGQ99R1KSxcS3uce7SWLoe/a9o2IId6HiSnQlEyQzapQdba+tIzA
D37R0lHKCqc+ecjZ9rGw7rOobg7mBBW/4zu+ZXmHaGayNYl8cwSweWYScoNgN3pETS4PhsLQLBB1
b43MWPw9Igt5g9ywvbBgQ+GtqvnEOYmQ2D4HtKw67G82ANOW5uMxqZR80qlevppmkV0CjsmXruqw
bv9zhbK6Kf5aEhG/QQoCr65rOz+URAxmXCYwPTIDWbGHeYbJFsNjyzpXQV+NyAvhb22NUvPPppHx
kv7zL/BDNeliEeV/zFyDwAGU8teajEQYx88I5j1PPcdKZO8FFnWHXdA1Oj/MTF1fgCx0P/nUD04n
KkHPE2L1IVNqw15fy7Y/AxaiJSEdTwRnBqPIutyUlanpbSi4//ztPkzJfvscpnCSep2ra5ofrE46
gSekAs6Rbr4yjD2zY9OokCWgjGbF+vcf5uE95HJauG4/GuUsFhEjpgo9+8VIZ6VO3JNCErE1GKXt
/vmjfqykfWJfuG48PfAhPzrF2hhosjGZ8uzI2bqpVjCXGGFhIFNDnuLVP2PP/M3nWRyELB4TU0Kp
/2CEs/yadaMoxXmBY/Ly+x5YJUzS0SOj/A4V0pGfXc4fnxEf8x9fE8sTomPzw2fWldua9OnlmQ4o
c/MRnPhkjfXln6/k336KZ2HOwb1t/2DhJJ5rrKJUyXPck0uNCAnEGeLxnzwaf/cpHCgRPOG657n/
8JZJEOatINTzHNBeCiVdDZo7NOv/+bv8zV0SKJvxOXHa4bj54YrlTCbSJq3F2aarfYA+wT1B5gbm
d45666ZvQAb/5Ej34/LBms7LzNeC3cPH/vVFrlIdzWMh3TOwQflmDX58XkxNKTIUdbCr/Bmli1QL
i9c/f9UfX+zVC8tw/reUjR8eSMSHKZIkYZ/zgZcrqlmmeiYi5AZI/yd+yb/5ijwcUD3clcQKLeWv
X5HchI6PKu0zQdYlGd1WfVlUj3Pe5YHJ1xPctD41//774UcEcoNxG4H4hw/VZlo5SSCtcyHbDjcF
+tXC9JMDB52fvmi/aQX+ugnhjcMT4uL6w4P5w5uW+HR0eZ2REyvazFiyxMhMyCweGr10N3VWYFeK
ZsrkaaSuG6m11I1u9UQCr6FcDhe1+FzEqG8sgHlUncj1kjs/B8D8k8vy4xOOeMLxAHJAUaJBs75n
f9o3qlSMJN1GPOEryn2bRmnzKZtINN0wiuVRw/j9s63qI3KGPQRnIm8VuyMkhR+YSnFBvyRiizkb
KJ07XCYO54d+mnrwkhY7VtJE6/OepfDFh6L9pLVYCf7otR5aZbeYj2JmFXuqJITJUD+Tf/3WExsq
6AbxMnDvPpqUzRarhvZ568vFp+g20fRZseGcVeFUwGZbnNv/8tmUK/7MtdZwI5jEHz+wTdVa9M/L
WbuoYhVmmjVtG20TG+tPEVM/vOh8GH0jmrZQ3NgOPqxp/mIH4JGC+TyhXb0DPBNcoUDnlCPMhlPS
P3+zH5bp9cMwiVqms9ZiH93AZW5YDTa9+YzLgoNlnK4qGl5ETon//EEf+Uu4jlku171b8OUgPH14
kAsYk5NsvJENvAPmb3KGG7ao0vv8OTLqRV0axAPdzo1d/4pgB/JbisZzGAEX6zZYt9MD6TT0CYyR
w9JWWUvzCWVOdzQNSSuLrhcmp2LtfoxgrMiiByF011eorX8GmPjx/gj0R4KGaSCcHz3raTX7jVcq
dbYRfIdjNdSXkuScQ2zO/7rokQh0uXAeIjss4x+3tz427R6zenfuMNGfoKfy/RmJBzvDnuqLWwEp
+skus+5ef1oYXbY1zyfIif9H9f7DXaqW0rHaTrhn2U7uNyltfe5c0qR+a4hIT9HVaZdCPNfTZP/k
JbM/PiK44cEfSAm0F0E9ldBq+P3TWucWUZ+6Y5qdLYtO0oLn3Jf45GeykAB7jsyXvkgrzxH91spS
N6hceAMdhG9Hu5+xr9o2aQjmUNJFXH5LcMDVvdb1Q8dytXg8R12JYPkw8PPviO78H/bOpMlto8va
f6Wj91AgMeeiN5zJYk2sUmnYIEoqG4kZSMz49f2AsruteqOtz9/63ciOsCmSQDKR995znmOg2SkH
oC7Iv9KExiWctUcXBfqLXpZXZvAw2GMqFtWp11PFUNJrCI0gkqBbE51N3y+lcRSiz+/B5gfRYKW3
LonYgBlEmj8OdBvutNcae5KUvYdyEsa8x5qCnrlvCbc08ZSZZ9rSZsFc0+0kEQ2aQXnqMOFHqzIP
m3KqUV0Uc3waglis8dS45N92QpEYjCA2dpFwlGY/lK+L/LzkN4OcCy9oJTLxNugAtH5iJPxeECYv
zdAJN/ID4Wb8u2/UBJB4JS3KvdQyVAevTylKinrmv84YEn8cPjHi0XmR2XKuQdJdfVFFhqWIbnk8
rNPFbgVJS48yPUaBMV6qcc4V+a5lVp6Zr/btI9nn3BALmIfeliKv0ks5mzwvdNcKUjJMDx8F0IIz
XrkSv08lmrexMfkWg52482+wdTvnVtcMrdc+CkBCL3C6Eh/Q5uSWDHzcp2pBZW5TK3HOPVcTm0uF
YmQXpy2zaK8i4HNDH4TOVTsrGuFBPnn2treXaJzOU8SazoNdHGEOd8bTCGcD7Xo689SSJupXgjMy
m1CSArVLexGxQaJbynJRD5SLEKXJMBmqtWHEzrHvNUPDDQwNYz1j9ccVSJDogztHrKCiQHewsvwh
9s9OHwo47qOBer8dRR/fMZqjpxXgUSLriuBnC6WBpMsYdeaon0XhkukSxC4LDD29Z90ZsebZcD0H
0LNn9c2RR6tBIbRSJ+H5ONHBjBPaTLetHH9HPx8+BHOPRP3agoO9x4ex1Sh+5L/EoSITp+kaLK0/
flaexd5yTTQafDsJXgu8x7huXOIgxChUfKDbS2/eah22ce25rCK4bxRGiuwt5MHN0jO3k6b7NsV4
EnZjTB/+x2gGkedr6NrLQSJyONsFpe+8Esm7dGI17Xk8aZQ/ozDpwF8ffz5Z7PpB0bvyz67PPGKV
Iu1MdiVeluYmJ34XbnJlMGnIGFEOJGb1DhlB0oriR7jXfBCBsAqDUGY1lwJiwPi1gwFg9DR6XNJh
glISy+KOGUb9JAF31ukwnn7DccGSTYLach4nUdEFVsSDMMJHt+DnPI8ZA2DCQPmxrBWHaQ4CIae1
/U8czFPww+iny8pGLtdXRrIKwzmnN29kbnLKNFEhQJtpSu7ooM0BHYHECVFdmCOtthFG9CIlmDvI
Zf/WSf8I8fzFnFQs08O/nFn+ZU56w1/TfU+nv85J/3jRn3NS8eGvQ1IOBn+ieuUHYGyg+qxrOUHj
4H+mpLb8sGSpCdNkbkk/wWSA+qdA2vtAvgaHbM4TAnITr/oHiRbvT+2cTWFEAocj2IIyyXp/SOXw
pXQA9eOEUKpVaxtixuOAsWFnI4TdxzVJAr35LSHo/ljVjoP0BinMBclre9B+3u/tGpSG2cam+Ysz
JlLxd6eKwOLLuXT9oPBx1HwP8h0bd0JCEXhHv3er8l6CeL8PZg82W0Jpk65EVz7FwjGcbYzSp41s
SVZCj+QUFH/4FhSFeGwg0dVEzk9+7n+aKyO6m0hzbteOasSXHMc+gpSsrzAo91ChmBsllnmfg4Bo
jI3DMzg4DGk4bxwzLVq1EUAXUkAVqGX0RwVcAii3QRz2WrpZfQmwlE0btHpIhY20oL2lO7EtrSnZ
jlo+1wH24m4rh8B+wBvSfZQlAkf63zmKywzT4qobkvpbjtbq4oS4/1Y9z/UENElJyENA7rjYAeFR
2am1ywwrOTZTiAqd7Tyixdmk+PiJzYLcEEbGnqOLPtVRIvZdZzffY1PpewlYZeMlzQ1Yo1NVes2z
X8Q4o+U47f2ma2/QDPWn0egNRGhzDQ1dJt5dDdkGT6PaGRiwIUGgg7kYDkpadulFhVSWnJoyhTAz
ROVsdu5wa0SozOculePaVxNBQnE/niN/fgJGkN1rRLzIJ2WB62jwRLRDUuZ8Y2dLcBSpZjXS/ecs
Ar7Bu5hBWl16SnzcOEH+4Pazv7CtMHfdAsxv7I/JokYZ2f3v57neoh2zdjAFh+eJHXFVKJ7PVA/u
Plu0LdVV5iK0xzFs0b7MiwpmtAFj+kSgr+xFIzOazDNIuGBYsihouOo1cl4eAqiAzVMkbHmSBOye
1FV+Ey5KnGrR5JSLOqe+CnXSzqieSFqa7+xFx2Mvip6IpPids6h8ciSCK7r3ULGnnoHQVQ7EdXd2
KEARCVWLXihl2a9sCyFku6iJ5kVXhHp/uJMYYG7coem22aI/cmqVbVtjLhh1xjZfCJ2SWhRL3VW7
pBcZU3aVNA1XedO8KJ1c/pK1MWbGKgwk8iUmvK9WlKh1fhVIMXe6rfGbkac+6oODdGJYt4uoqrnq
q0JfiSOjhERv4G5Oaj23Ppb8vuQUvfJRhgcrq859i0RSWtaMuuS0ySLU9nS3QuPZ5YyGH8zIWvy0
Go8A1kV3O3Idj71PV4XMrUydI8z8EG0Grh6IYfwO/ZKy0ise1JYL4SQIne/5sLgqYppOz/NQLWMZ
Kbl8c81h2k3CnV3KcG0F8fLrwofvrKKMB/y+9zI721itHB59/FHu3k9L74iZ+KNUw/zNBxy+ZXrq
HPFelKvYm0ivqYRR3rETDl96RQwMjkxvMld5NKPqTWOdyjVShWFalY32vxbgXrqNW+uRERk8zh7h
aUWInCBHYJWDNqVi6FuVnydkV4s+oO+PJdYzPHFsIjDECFW5x8/p4RCMI+u+yRykmGTKEVsA2G0k
eqfJ7vHjVhSrAaQg4glKY6cbgR+9Ik3jzmM7uMmVzOJVF2YkwbVFfcFN20L+yCz7NqyH+mzUlOwb
365NGA9J+eyjEM02oosdUhv57x5rFJU8eYMndKb6drCUeoitIf1Ipl2BjLoVxDB0+QalLijDqmTz
dZs0/Z5ERGqSEhNTsBi29oiFnDLjcwUxaViPdS0vlk1VskV/H3FTAHLoHVNf+ZueoT/QNRy+RIHK
1v0k+oto+/pAKMeGYbqBP6Yr1cFEy2Cu2lo5N0r2yc4fev0EnWjmrCQ89Uj32vpU9nl88SdS2w6I
QaIHWnoVyWrYE2ko+6r5igS3yFeOKNgd9ILtCbE3vlIg1bjaoHnecpLqy1UkBleB/A0wfKZkPNyj
KTIw7/QNb5dF+PfY3+VFGtiva99rvsJz5C0iac5nrDkcJ8lSO+rUGrf14NZb9obxSOB2+BkboOAP
Fh37PD/yFPnBEgSMiL+bFSGXJnplNIS1fxYRfviVP1kYBc1G1CdJxmN4RNPU3bSB511v28EI1E1u
aoNAGZsv2Qt/y1TlO3YeItUCp1qn9Wi/oJyojknl+w/EyBO7ZuffrbqRLEQ3te9HozpjS2bLcbNz
NAXh97HB+Y6vdoWfGF22yI0NLdBqW1VOcjdR3++d0kAyNc8jxQ4/dAf8ZTDcgTIy15bVWRuYCxZW
Yf4ARmx8TYa0ftRYhW4ct3aYxFSq+AITrP/e2xmlMYzcjUYVuV/OJd8y4zqErxF/OvD72ToSvw+2
RHGqc0P2Hom3gY1OKiAEceXaCs8HgXu+A/rJmJzNkGu5+JiAPG3GuTNfvKRti23t1ek3pwXFvJ3k
Es0bORHkpYSxLfL7rKWLFCh/eC2aICO9L8Vqte56U38BIpG+oJjndqlXw0n6ewNey2Uyvad0DFFO
JnmUb21wTWRQNsq+pdrFXAT1zLoPU8gxHLHKr1MZtru2M0iibE3uV2gmWOJhRxRfbbfO+Tvj/s2C
rL4lwok4Ph9T721QN+LcsJ3xK2omfM1zb5EfHptWtcqClrgRpkPpK+PLL40hkJ5Mwkahn8jqlASh
4a/41RlLZDN+6HWXhUMBFojQ40GZLZ3rZHrExxc/jVlvkk3cQM5caYg0u65pLpFcfNxu4N4qt1Sb
seQndo6hpbsbSaJ5s0Y0YyOJz51oS1XTb0Iiir4PyVij2K8r3G2zIU++0wzLAdO19DZPmHpMYm6d
lR70fAwS4mxXEoDguUVr7uC9yjprNaJKIRYySfpzjfoLHyr7SILnwQGQw/FEf7ISAswfe9ytzr7j
of/IrxZlOCxzJ9zKMvNOiEl4EjjwLOpDiuFu3IwE34c8WgFMrMrMDp7GkdTfsvaJj8Xp5d0EOmWj
VdKu9kHpZcmtVujToej7+V1SBOOLtmR9Efbgf61D7BelB+pmldJo/I431zhRmtbFvm400WtGlJv2
SomZRwYYxG4f55V4sOJI5aegiiW1ul/9jqbXifHaRuYRGmxmrouyN1bwhzxzM3a1stsbj8RyIsau
tcq/5a+/KOsYAFiMiv5v+evLb2wyRfvXqu6P1/xpfBUfHEivNPjJkUC2akNd/qOu8+0PpJ8s8Nk/
CjTe6U/jq/uBis2yAovCD5gKEtc/6zrHwkkL1hyvKnRsRLP+P6nr3nfoGZ5CSEeysChgUb++65sH
xDvNcRm4h4Be+YpKh3FVRM/tL9fk4UeH9z+KLn8o46Jt/us/3/d9AwLt+Y7Uo1ApuRLvppph19eW
XUbhoUuotoDbMBULxrD8WtCAfshpKB2RbtLZLGcGgX//3sv9+qnpvLw56mIG/Fw2JqvvviKKgWy0
00AeIkcyePB1A0pnFLyvC4coERYyP5lXEoNnbG+aeYp/Gw0UPFtPezbn4kV5xzRqTxxAhucfClWX
gtVpggS9bZKFZMRNGrthFM23XeOHF4IFh83/x5egTw93XJoMB95TRE3tVDbZwfIAFsnajk4573ID
aE7sD9PH2jZhRogU/ayRw70GalR9GRZmj1tGE5+P2dmDR5XxUDZBsDJ70DWS3HswKml2HGWPPKkf
xHMOoBcXwwyizcj/6QgWvTAqDiYABJwsCZvvOwgNCLGObqbEa0HvkhkwNkQa3/D4fsX9fTfV/PFO
AaJxh3GQ+y8aHJdDMJsn79QjjD5gHuPmeYCndGvXj6YLgffv7867H9H1/ZhpBkCdadJgZPt5smCJ
pihyI+P9olg/sqNwBu8i+Yu5+bvJ0PIuaK8RTgJPYojynokvNdtFNtBq0FRxPHDQetoyPqRN8Pz3
X+faMPnrmIZ3QmG7WOuXfeFfNgUI5JYcWINoy0R2nP3G2irJmpkmbtyU29DPiDnBtVq2HGp6NzhX
uIc3zkLmUl0x36DM4/A2eXRbvd5t8LEQ5LfqhT0fokUbVWbUgjCfp4+MNoppTU0NMixKBmSKV9QV
UB5rS0hBfGiYinwaiAs//P2X/DHe+ulbBmiL2Bp84n0WFYn/810LaUEjUNXjYUhsQZlWDrBIwwaT
l053ZdogtCDTEnaJgR8bEAuLNzlkedLtelG1u7TS+o4z37CoGO1Njd7sk7DS+M6Vk4OpOc8/uWDt
NKzCJyFzEGd6yATN7DB7tsxU7hB5F5sWuNxHFRXWpkBWvid3WCR99JXtLD14rQscD+THAYFhecPT
RYH0C62tHXnAvQo54eWL862iK7ZvAIg969BNjoxk8k0hamhIFOnfFc2zdY5a6+hUc39fZWKoVzRI
nHMeMEzvQ8/dVsQyriGVdWuvgwy1bmn9HFJdpi9YIkkzoNgo8sm4d2U1vU0TmddBptptlLb23g0d
OjyJh2Ue5qO3MfzZeXSVbT4zbsg/+ZFKf69IHcWKbcppWkutmLIMJacdpgnjZz8oQBfmlj7A3c+O
yZSM57mW3r2HoXbTBnEhV4ghh/uO+vRbkaDLZ0S/NUaZkHOY/makRnCLSppGXBRHW8PXJwJb+dSe
qJnayOPYG8VdGVZM8MYCvFCktbEy/GJvVsl5uZ6kx8AqYpLNSarEnSdy+4urEGE6ozKP8D3zswPo
4KORpVTignPnnegMBhhTryzO3hnCynyw91Ypg2M3O/arDr3mgTZJUxxbs5Prmmbfc+rsClWxIno0
r11t269lrctdqiwSE6qRdMnSKvRHQK5YrdJx4NbQG2hGcmmheu+Ush+tECMZe1t/bLMSihZVZrDS
ynqzNfdce6J6nDQi19BVa9x/MHairNuQPqtXoPyYpJjmqbIWaXHkOIg7xugJ5sVtGHlf1TiZB9W2
cFQ5g24T7X2iCn61ECdvBt0kiD4R+7d43nFlanH2x46kCjeVq5JeCOAkCoEO9e+q7c1wRTyJYovq
FjFxsYQalOONEURynzYg2iYjCL8YlZr4MGhelIUNXKV2iaXdrHsWV49Kn8cQzUv0f8Q7DHG86SLP
2mtITjcuyQcwGUpzrUd3worQmI8dqNkAwAESSXhqSUXaockdEo2ob6ZJOEdVjNlB2LF58Et+Lp4x
lURryhpVcAeKgHxSFJTMs1qO/KOZFN81UOPPSSi6t2Uw/dnu9XDKg6A/poRRkuRQEV6DOH5ft2m4
dkOzP3aC35cx0f2E6ztFNuJgZN7HIib7p96I2stRakf5Uq2MHx3SiXak76kjLvZq62QlVvipC1eS
yKC98GoCPBewFpGhJI5BeT2jyk+rDYMuCnsYQRuv7CbiYALgW42Z7sKkn/DD6aG8M6co24QVh4K5
p5zQpQX20cpB+EU8OcQc0nwzu2rLaBewJTq9k++1wDg1sAxLmdPN3JrNp1kOzj1SJPNuis2624Cu
gG1I47P/TSR62MgM1A/8C/1d+WO080ogbipuizMcaPFsmJwvEKOq+zQdOJ0sDMmyxEjuRZIEiTCj
x8OoC5YPssv0QkOg/pwkNmBbk8l0jCb7AQbVtCcl1z4OTo0zNZLdS9k22ZHJNMBGQ5mHLHHYe/RS
MwFrvvWyMjzN0uFzTXZ1Z6s5PPkN2r1psJl6g+9PNwgvq63UPd88jdU9/ZMBBAAAzbqdra3jOtH9
7FchtBdn5jWWzJpPV9Bqp/EYDGknzX0PkWkdGnSlIQv6OEvbNHGBboMpFWwM65nx9R797XwwcWGs
aYygmEXMSHyoB+Q5yPSpx1qPyhvQJGfg/iXuNft6aYFCmLIeSKjrwCUx83ofFoZ70+rSuEy8gdoY
GU/eOfQZhrqTcr8OSGsWKoNq6f2SqY3lFVqEaZH7Rw/2sxm4Nw12gr3f1+W+SSyqXs6L9o07QtCr
2RSE7uy73q6dXaXq8ZinFgHHWaJ2pR2qxZD1TK2KQKJt4SakA57t2HzQYSF7uhtRv9dVP6k9l99P
v8O/qNWZJn0NnI0QcubPBdZkes3mRtOpDs8yzKnP8cM3uL8Cy1F342CN+Xy8Pt7/XbD+omBFZSWo
MP/vgpVZf6v+Yw0pL4uLn4BNf7z0z7rV/eC4ludz7OSEZAF//J+6NXA+2BbVHMcnh7HnleX0R91q
ex+W+CgEsxy/LV7Gq/6cR9of+F/xdFqMJE08n/Y/qVt98/1xWDL4pK5Gq02IJ3JL++fjm5+Oda4z
AIE8AxEQCpgV6BSaiN+F1Wtyl9u+MsG1mcxUjqE1Rc6xgJMRrL25wVRhDQRT7+x5hEhSUibVBwMc
/kDXHgccDnyCnt7ymKPtFKI7r3BU38FKc46t0zHxnyy8fVmFbKqPBc+ZAS80nd+FLZoTH3/Gclh+
oS1YfanMmTE/YcWYgoZCBGfBce21oFF/l8vcKNYlrHlv1ZVWUO0tcG9626TG8pKrgiRN4unBqlv5
AnuKNx7A93LgbILxEo2ufMljMV40GpxjyDmFvJwKXvV9ZBVpeSoxVQUnJFnNWxNgCMuKHD3E1SYK
3GCxRC38v4nquFuzrfE1Kukg07OsCOEb5p5n0xEYDBeVSVka3cEmlePjPATjQ2EjjmI6xgPKg5J9
98PpWnF+fvlhO8N7h6LJl6AX95Wcm7dExwv572qlajLcamFNSTDamv/NIWvsJi9d93WKeB0p2HwA
Vwx82iHj3ThbWM9JCD2GeZ8H29yTI9/aWQR7QWqjpYIdypMzc/F/dYNp33mgO/CT+erOTo3kHKCI
4fgdj7dJGPeEQ6Enwm7Ka34YREgB4VCU4yXzNqxrrvCPG0qjjaYEccfyxeqWO4xtfXzgljbNZw/V
7ngeFsTNZkQdlG9M8oviRyO3+AogPBepSa/4M2gWOCSiGC75gHUGDsxVmzNg5HPXvoGhlFNE7vaH
Ks2V+Ul71Mq7LJ+NcgXi/HcVLgY6sy/ky5QNl3ZuXKp05UGvDUHwz1aTPIK9ks6KhyoBLyK3nguH
BchobFm1oE+hjDMh200E1INJCS3+9AkJj/kkLKLWtDHdXk2qftuzGizdcGel3dJRuDpTkXgik8K4
tPhKoobFZ1jIUsLe4qeHQql9w5SCsMtcbLJqqPkR+nLkBpcVY/tVQIY6RsOkKqYTyTjIKFPJrHUL
/Zv1JvhZnsuKHL+Dn4T20Uh6NGU8svncMbSQeZWn4XixTVJlgYPmrBiOZei4Roe3LGaywFb9sk6m
BZDZLbcosFv7mLu4IgPR8Je1tUnLA2kBkBwaGwzT5Bbua/WFyXn4cl3CpERwfdMGSNvyY0+WRRou
puLB7rgkV8XnVTObzxbqSGDd6W7pB7zY1pJjs2hxbCAEAQum8/FFZuCiWQHLT6LLIKFDA+XiTYrT
Xb3oLWMR1z80pjWMN7Wh8kIuNZThi4HIzFhVgEJLHMx0KzK8y9nKK1GAAnUiQFi5oD0wivJ1TJRh
P/y9tbkYvil6WWCGTW+qSXuuT6gxU/dWy7dGF2et0B/beMBKeR7KDMx57S3y66vfpAR8PoN6Rb4O
oJa5xENy1R4aupnYT3HkbohQ9w/osUzksCAhXdzzG3tQDN3GMuX72lCrht0MdFRtJT8Kii6dL65M
mx0rt8pBXaZmrG6jBJvBFY3KpAGJnmR7phDEFspkl7/H8WhupaS4b5IW96VphuK5dauOK5g746Vi
occrBl31l9QM64MUTbRnaIJXeHFiemmGY5Spp56fGkp/5zB2bJH2zBce05QVZUiQpxsGF+IZFutc
naLSx5lrF0RcnPKQdl9i0vHoHAuZWD+gBM7iRZwdYwXZwm9nTZFIwQJHPspt1c1SluIYwnNKdtsz
njcMuO40TBtYIcw8ciZ26U40LUamxS81yEWvl3u1uIsXW26eCz4PoGnsnL1cVo4vKPFOTqL56y36
Em9RCs88Vi6re6F4k0QpX3TsiuSGwl0fOuETU3Nd847l8CKz5TuvmdrxJwApcdfFPVJbbKB8T3N5
jNDzq9vHnuyAcWeC66RF0bRIAZS9rEc5oaGr6kC+GPZiOPmxpeHFjxl1+wNLiWJQd8ckaCj76t4Z
ENAIQzw4Hr+ujDTvZN0NXF4by+31F5f3gfOCXGgUTHhdrXbXnRVjF7LJgeH7i2A8VID3wrT5yb2a
zRnG80FFT93iqNZ9RbQht0lX549CdRbu2+KNJoI86qpaHgY1TfjVFEbswDKbsVbMLhtZxvmhWwdl
UAHkUqoQ6t6a1HRg+7E5/Yuo4wgB3LiAz05gr7zJQbpC2PfDkelWE8vscU6y3xIzzvxgje08euFR
ijq4dXNuUWHyq0m7kb2W3yT0H7YY5nQDGgT6xdp7K4v8pYyEPslw7MxhRQgjjCvP1s9ElB+JhuXq
Nl6RPQMWqG54xgQPovDNkN9ub++QwEIDEKK9c03M702XRbCTI/Ux9muXJkQRfq2p3ojdqEHhSHet
W39t+gm/gVWXM4kdDm07YZ3rqhs/kYB/F2JBuSYp41NRd7uqauqd4fnyARHHKsn9S2gRH/lp8oBw
8Zwoc4/MVlHm7Kqw3myHSfJsm4xsK7NCeutZcwEBrHVB7dROsq5KKz8IdDGK8X4VrA0ntXdpgU4A
6Nm8M7txOEFFStO1QfO6X1kFnYDd5IH8O0iWJXFpTeeOXH4lb1qyPu+DsfVPxPDwmIvH+hAzfmZW
MYiPjujLW8P0insSTYKTb4WsXkFJCFeo3EZBUi0F64iPJQXqSb6LeUtwKZ2nxnDH14z4oY8ovj4y
LK6zc1Y3zmOdKgaebTMEayIlJH1xu/+9mbT8pkB5okRiBD6zyLa168ebQE9gf4xEHsweTtE0QhjM
g2pUa8dJaPKgTb4NiGmabrle3hsa1GI3d0PIczw2AVoMH6VMql0a+3rvh8NXOj5rN078b1E9Thfl
TgVastra2SlyEKt19SOwMMXxpwDJM+bj96SD95D44UoMTXMbxGp+zAnXWZeM4mFjGs4+lBCSKhk7
26hunmvZoRXVHicj+khAPVHuskUhh4ccQiB9xLnh1OVanKxGG3TkSojvsnPOJS3aNRet2PZp7T6N
Hs0aKvhgC486pZPkgQwC7vfg1AmG8eBkzKm45yEAdNLpix3ibe+YaXt6jMhKsuFZHiyj0Xt4lpxZ
JyQpI9X9wUXVBO1zMr404VhvSDaQtzPcwC4m5YuRjHkBIxjAR8/aj9ZoGecpr7J6ZQQ+rxs4u35r
+0xyLrGs+UTpWe8TLCefE47vHO86uN6sbyt9XoIkDv5gG3emV5trnrz+Jg2cHUiqaQfDID8Opu+/
Gmn+mXQWNB3CzxZohm52hs+yAYFFJ2OaSWqHWazWbpDWazZ/iGFuxoMoUu2xL9y3Cgny1moFbbDK
zJbdShynRNuvoTarehOWzfiZEzHeVkNzEozNYjOlZrptEWA9hzU7Cju/hlpZCoDyseUfzGa098Sz
TBt0VmDzaCkPZ9UZvlhVdodNnY0k0Fy71jUvUEYysSUKXdOx9ZkcJZc4FGO3EknuZAd/bvrojc0/
IjGAfgF2J3IVjL4AS61CWvElHnwmJ8pgY9KxB9StG14MOuMBj73QQlaFV2Cjq5YKRNVb39PlLX04
sK92O7xUXsDwwIN/L2ksEdnUzttOERwqEz/eeVZmfhyiMWCJo+cneyOGRN9bbKQ437/jrY7OUZ3f
qb5tPpF61t3kOrj10gIWAaeBpxzhCJBV4G0rHIthe0rreoo/NV7VmfQwPNmeiGKerY4QpUTubNpq
NaxAsUDRIgq38D5E3MVpFokqWkJmoF/COmNTD5NkqCa278mEr+sK9EZ7lAWkna6tzAFpHcG1BkwJ
7K+zvwQKNtXOgnzmrYM4sCN0RmT13NQmrcxdWnLk2phk9wSsHgt8BnoXuVVXJymYew4iHmLybh3X
VTadTADjl8liEsdZFOwHSr8H4MGcz/5S8f8/jGMpnSHt01yx7GW+/F4wS6RJFhM3nBzCUiK7z8sS
rsTszF3z2ZkQSO6cXHIaKQuiAzwiFXj4/v0HeB+Z6fAJwC4t/2CYxad4N5MdlCfK2WqjgztKkqNA
qEd0eKUIrTthNGSgtYBVyRaMVXTTVuFcQA1twruoaEl4MTtx55RATv/5ZZF2sIzvSTrAg/tujFfY
XViqhNCLAlz8Hiz+GG3HGCoIJzKaem1scfLpchwoG4P+7y/m1O9do8vF4O3BXeGwIJz5/XyPTIG0
K/qZazJhAD4kop4QnjQkCSTcEDVBZZsR5zBI8EPjKJbj9w/MVO/UlXXveFOfYvvBGqAO7VJBV3VU
JL9f2S1DsVBW/vFNXGjZrm9LSAC+eH+9egli0DaC7ABRHoC8nMauWSsvpQmpXeli9qlypuhjU7/m
wC8vdUuv4opJistRX/Ki/sUcViw9n7+O9NDUcgZyEKOjuRA8hn/uCRlubcwd54aDTrDMrDwD909L
S+qlocXDXAEjFi0F5rNvkMXsY9VTXxQD7pi90DyS101TLTUYV/bvL9X71GjuLQ20JbHSC9DiX2Fm
f/We+b1Z6VzX6lB5DFeXHI0y64AmDdofORXZTfFUKZLyjlPJsXUzAoxIT71j9ZfO6WUDOHaQL6Y5
US0713OxaCljryAEEgQ4vsdRw5k7hEi0wnssngtp8ssmEYFuSerrEc4ojcG3H0VpnMMI6ualC1BM
FdbHMMZy2ickLi3nuFc0maytuQmAPbrAU+Zf3CdrGa2+u09MXRGK0TdwyPN8pwdRAnQi5EYD8Z7L
HmiVSFZhPS6lTjHy6dn4iRuwgt54KqyZ5slI5sdrPMXd/DRKuP9Pkb1Yhd2ZqLUkc/hXLhZ/jj5R
b9tre8i2quVma/JVwMd02PjKiA7YOvYraGBRjw38ByoI2xPNG488BVYIBcHb9d7/uxP9q040jguc
Gn/Tif7tm35t0p970D9e9EcPWrof2AcdZi7/iwf8QzslTOeD6UIH8diw5VUf9ad0yv5g0qNb0gJ+
2GX+twXNlvoPLDCIr35etuSgufx2HZrOuG0We//P20tmdwY9FtWfbZq8vbqdUzQZXkpJVCdTcQbi
5UxVfoThoH7jTIY9Dq3f8EwqtHdsyF55yvIgnBnp2datFolHoFnjnUesZMQe4gfF14YqcmXZ2tjh
yuw+O0Q/Qp3zOVT3lux2knH4nYVjfp0y9GnpLzKyYrjerLHA2HdtlJPBtrQBzB4bRJqaxUM7DN2F
egHZPdVl+qKJaTotLJpuNcLI+WwClH7pTGXgv8SpdslUkF+01b54QTofYbeOe7b+6MGr3fliikxf
FjIT5yk+/kzK6tYYbA5f9HhJ8rTTde+JcUvSCPzamECj5y5OxlffzynbmhL1qTPj1KvrqnkAEaE+
1XnaTWuzTKqNHfXWTiofDJVbq4s7esm2Nx34/4ZZjGf6StYZdevHPIs5zdMM9xGL9Fh3Tbuan3Ff
pWtTjN+IEtXNysbIgHm7j891XFCKod9uvgIQHNRq6ZMRnpTkd8GAV8Bo1XzS+WKKVJMNE64P/MUY
iFAqofewBBskzAaie1LxUJEnI7mXisq+QVNyMIdyOI8K2H1hiPhOiRySVwuj7IlmX0fXVabr1kut
e87kzWGy6uLWr83h7DTFdOBRYb8mjl2eEinaJ3K1MwbpqZFuCZ5o02WwHxwxBXS3s6jNXS18YwNP
qHg0aNg+tZPTfuHRnP0+WY35bPUdcaPpWCy2JOPOBsHOCbX9zLWCsFuPhXwAlZJ/tnXc70RQEdvb
WuZ2KFLc7KZrbBHhj281ZeQ90m+MvSMJutLu45pAnimC8GdI+d22k06va426hEwdvDWk36p0S3CU
elzI+im1aU24bgjlm5ZXvwuAKdD+dV5RIQc3V7AOCqfqztECtjvDbciFM2i6Jhp3+HMY2xAbnJyr
GbtpFlUBhbVH54UIqgezwpUcp9F8n5ItVa2I2jK+B6WNcCKMGiFX9eBlKLLxOt8Useezfyl1IumY
aSodvc1/s3dezXEjaRb9RehAAkiYfSyUpy1SdHpBUIbwHkiYX78Hpe4dieqVoue5YyN2NjZGLAck
Mu9377lLNvI5xr7xROZivLSJiW0iq+2veCIgN5RVrSiyC+eXOqsMudKyarwAox1+oM9W3izRkMZd
CuuUU9zGwMPujMX+kUqzm1a9mtOca5KwErN6IqQR/D7s0eRy0AwKSiFjFxWFZrTggMmvOUDkbRe9
StDOy1GXMxkU6vyRZaS6nSjn2hdhrW9Un8sN+H9ki0gUw65XVeU7dUxXbTTVN5jIw5smsqihrm3z
YxZnQOS5t8enNoiccDXC/b+37dQMfaD/2mZORLSXdpAf+1kViJIIMIFPba1U26KadJB2DJk45hdp
fq2lbvjoiKJG4Lexz/hWXQesJHE1r+e8/IKoprsrukzGK3N28omfRsaM1yelPYaqZTuSYGYMKPcJ
R+gdIil9QuSIGeNYz1QDIJOcOAOKp6YNKPUKK8jc9TYj4aKPV8Tx3DHmhwtzSk23japCagzCYbKp
ax71vtXvaTkxJvshdHLOn50Z9WqPT527/ThXRqvNfoe4MFZrSxnpcN8kY+h+tsI0iAo/IqQ1yIec
+GvtbNwKktBW6/su+TI5VSXSHQJr0/Dg4uH27z7gd/sABrTs0///fcDt16KgAV29visQoh9h+Yd/
zaMtoL9MeqHrOzg6+b/+M4/W/8DEDKgYqfHssOa5/ddmwPiD/5fN0MMwBdFVyY7kr3m09weHFybc
gnk1syXX+kebA3sBp3y/p4VlZJm4SHTDcgDe8ud+wEtk8MbnvNKnPWjGdFqTf4zFWhLovqaLghQD
0xAAknkeN/l26OzaWyGxNQfLLYVOqK8ZsLNlOv1rNY2IUBXZEuFHw8yxbrzPleqCm8G2p4t8Evra
ilGbVzMl8xgXtbblViPFMtsZIQ/NbIVGVHFCIzXADxgbxJl5p+FzfmSO0xynpI6u2ZnrG0eb54fA
0NCXLSbPm8bDErdhzFrfM/cci71Ozsldi1F3XumwxVSXCk7ItJWYuONYj9M1tyeFMVGxJwoaf9WE
CD8PNJ9djfybZzmVSb/mwWFdRvBPSbQ5rd6vOFCy9vUyRPjSBnmLApBdKHYUN3EZdVdqaLWdCBL4
tHpAU0bZqXHjDgFkUSdMlC/5UvxxHPqVxqR0leU5TW5eFegMAaX54DZ8zUJzUO16zEzHwqYCosAW
vjeMOtyQyPBWoO/FcZi9/LbTTHsLrT4/4Ucub5PebW4iJjsGJvW0OGKNoKqI3LOfDpGzhaOk0+bg
5ldkQkN9Mzn0mKyatJoTv0Ayx37eXfal9Qy4tbsXbVu4O7chwb82GFJWSJBuSpd8bz4CYjO2BL/c
HSOfZPTVHARXiBrxejJ1SuWgcpBPVO0da6+bbGwAOkf4p/pbq9nFxsrFnaNuc5qW1i3mqJ0V6rcW
XLcS9r9hLhpK/yKY9j4wfBpvVJtI38vtjQbPzpdsMZj+dvnOxBN3RAHClVNRWsh2wbpKLeMpHizq
C/DHrSe7Xxrqw+B+6oml2ZrM9wMPbb0UnZ+yIbqjf0C/6bXWWQeMYw8kFHdpYrqb3BoGP+rpcAqA
+gJhVmWwT7xAbnlkpG8cfT+LwNO2JTBWKAddJu64yOl64vHAZlnkdBx6Jh5gOaxTBKS1XchTydXm
wwS/wNwXrfCvYjeN2mfIB9AMRujIEWGjlZwovhnaSFJpECKN9yI+Zkzin9F8wkOVRfWdzCqqcziw
Hx2mV2wNogmn7qj8zGrwDKia64bLFhymTdsPtG8QtUUUw2+0gtSv7F5uXAETdxo6unrD2CrDnW3l
UygeYCmN8ZbChoEqDylmy+4xMEZh5N4N9pjZFfZHz+3vDSOVwz3FCkQ8VpK5g3gUFtfCBuBUfGE3
unNiKhVET6M1YwHsQa+Y28Ir0TUyZsm8PmAPj7DPk2dWVBxmiWiU3wTk4TaWKDX5PHpmkRyGcpnR
Z+Qe+TQMNa1ih5msUfcqBodzDya3x5AVhlpiXlMRpJKXlJjrXFAccq4ViSQVI1Nl01yv2qV5hMss
DF9yEYecvSMR8/toJShD89xXMgKxZkQhzk0m7jAtlGWyUO6mzs0uDXHju9ZLX2LE/eykQJntF74j
j2azrO/KI/ZBk71YEeAs5j/sID0kVBWRFI30vgs+FGlvc1yoTTxqRtcQxmOCO27+fVIXXdxNv3tS
c6X98kl99dq2r5+jvv0KsPv7yJPx7V/++ai2vT94UuNDA0m6PBA9HoX/iTxJzA3A6hfCmiWXNNR/
HtWu61CEzj/TreUJ/3+PaoD/nOe9JWJhkh+x9H+EsnhvHMOf5kCgMqUgH8K7eycSeia5hLTS6KiJ
s7eoxJSsuSWYJZfJ7Hf7mL/R2f/ulZBGYd1BOzTE+1wItSWFNY+CV1pcl7lefawWihKxwt7/56/E
a3imbjmGhZX0x80HWWrmNTAB9h0GVUrL9ZtWAUqw6/nxH7/Qkj6BosjL6bzWjy+knEx4ZTNX+6lN
39IsfeOI/Jbwn//Ny8ByQ4al3/H9b8TMaWb9Hqt9oDHv91y8wmf0a0q59j//6rhW0SAdIiAw/5CL
vpdmQ7jgVhnxiVSQN5ecLdJVgBnvskE7//WHWv7SDztE6OC2sbAWAW2eN5w/vJKjcldj5lTto2Hg
oNxPd1M4PgptejwL0b9+sUVC/enFTBo3F+wZFpd3H0sTsuTeLAEucexfOy3wc1hDuDi0+FV3MRXF
VmOu6L3r/pvvkzM8KhkK7094T2aAPdawomL8EJf3Pe6FlfS0FFfTb2OFy8X202dkC8aqsHCCnXcs
w5neTPBPtE1pPWpu3lfkFgxmg7/+Jv/mLj57YP96FZas7y8QF/VCaVi49qgT8sJoxkcw4cURhsp/
9dV993nerUwD7r9SFbxSlPVU8Y7J64ygj8D9u9vL/OkzecRLhUEu0nF0Vup3V0e1jLVcq0/3EcVo
x54q5rfShAOzGjrSFDlB92DEwpPRbhklOE8WHAYEu6i6qURh0AyVv+ZjWRxdg/MBshaOinhhVWZs
Ey8s4GKXRZM0l6mNDACbATtO1wdyHwZYmMyRC2NjYXq5J+RmvWJkYpSHaV/tXE04J9jjrgkedcwe
9ThOPsbLppXZP9bdYU4Javzm5/3JScwvCBl2yYA5nmUYzrsvo8SR7uZlle+JQZWYWpQGYaHqoJmx
o9t4AXtY4TUCYoyUe5268zVbMW+DY744Yp6y6W8u8VS5Y0jChp3NZyeKocktVkaUZIGrIH2b8EYf
wlmoq8ppKVWvZuxfhlfW6E78V9hg5hs9HSiG5+m5d/A2k+TxjKfUMcqDDBJ6q3M1ASoY5T5YOP7l
VHg7WjzddUodW+jjuKPbLy1Gd61qzHRdh5GlT7OCyjOnuO+0xDrq3jx8rgOeePSW8N5twaskVnkx
uK3i+Om4UUkNUwbHKQUtEbe8H81AvMs5wa5T1VXb0gsr7MVzicHAIliGS3k51/WUL61qs/N2dtBU
21rn8klqAqhaQ5FfrvPp5pxFPE+cznc6LiFq7OGZ0enC2YbHYeEs5dgRRg1fecI8Wng1dtj3yguh
d+XaRdhBlck1yIW6QcGAkhdjKJKPoVtmj/aQMq9tMQKTsTGeAj774krF3llR+zfznigOJd9TeZ1v
mhPr3mhb7KM1q8kesfrIC1dr8xMjw+5jwFdzESV1dWP3yZuON4wKStt4yt34bWyH4J7DYok9ZHn3
LWbRKTMIFTcZKR7WOagGtwkRnTtqSKwDT7eO5AslMuSwTIZLNtW7mdEXxzhkEL2ymEpdh2bl3SR2
WLzBBBHXokz4EvtMFmxtB0To8xKQtaEFCDoAXmrzlaXgHJ6Cnuq22YomjAJV+MGdF99y6MTpR29e
fOj1wNlLRsy2sg7YAQUPjZ3t4sLQqyuBkuitoROq5yiomHAbQjE+KziAYknQi+ZSK+P5ydUK+WFE
DXxjqFoe+YzTpqCLcYX0V+/Je3qPJSeuDyYYgsTHFSpjv7GkIlgVRbSM90sbezNWJh0cC/GvC0Ya
3EejCvHHhanmE49hOEsMbl1Z+qwxxeNxP0+eu+vMSvUr9JMqeuwKjZxJ7xbJK7lUbesV3EeAIIjf
xJ7Kdi2+qbuh8dTz3MzpTlZ9l20HrTFi6kBNOSN8YtBZAXhBNKCCBCSjV7VfaEgF4qQtBu5skO2D
crrqJUwseeFMEPpZ4HizTQ/614a6ALJriDWfGhnrKKMw/Vjjsj9C0So2aPsGnXDJG6Ad7xK6jHnk
jcDeC/NprU0L0D3K7eg6BHW1gW3l7RKNX6g32Qb0Jiv8Aoxey8gL7hNFC946wkL2tag8uS9Se/GY
RjacGNE/V+0ESi0vl3F7z4UwD25xhKrBlB+hvmYw4LeCevYm/Nr1jbOO2vEezXXfleoTZqz4mDMJ
2vRBZVML4TqnqOemFAVvi9GOuiI+5i2pzmprgQpZGZWTPmEKmi90b9zmM5T1cB4r2ugG8P8MtxY7
YJdxUbMqYlXJqmldYEK6Mdlgb2uNuz4lCrdWivAlXrhpMzesbvnQqZ1Y9iCVxec28uQV86l749Ie
/5qNrXsy1RK3CDHCgC00j2PPFYUFLvi4pBR8PZvKtSr4+LKduY3QAbybruiHz63WENQNW9acyErd
k7AbOlL07FVKFsqmYf3AzeSc5nhMMSY305ocFaZyafbuKSjT5lIMPSvZedfZe029y/Sc4ztmfj83
+nJtw+peNyXhh/NTCa7u8DmSxQF5vViFXqtzBRNpa+Lsxqy6chsNJg2yJDZv2no5Y5RYxzNRcTEN
NU5wMFaWn5I2WxExGNa5DQjuvOpC/H3pUld81QdWK7VcIxIr0TUZvPg6kTi2yFwB0hrYVa00rZPX
SSi3rYVopsoGqpa5OFgofEJYsktKy/iGZico1shy1FTT1uL3/MKwiXSszSFPgw9I7IFP2rI4BnOf
n9qetUcLWT0Gj5s+VTnfOeCVrZnIehVS3nJtBob+yRMQ4ZQm6VMu+xs3bbM9kobaYV73dsAztauu
iW/M2FTPtG20N9OIxIe49xTr5vDkpkCO3YldgTULuZ+9eN4UEWybSmuC2yx9cWpqpWIzeoMeEfpW
Fz9wPz82Sg/3hltqmyjMa59xWHVjTa2BWDiFOxb3T5osexykPPTO1nItjrLHumDlbQpWHD13xYdY
FxUzCX7S6tsia1tttYUbKLacQ4dVao+Oz3O78BUZmX6fG9JqdkWEcEtT97DqWo9yUuB6LGYJB16q
xIzEy32EQdIlQ63T31LR9FLgAG/Wk6px1GWVGedMNepOxz091MxBcuOhzY38ONRmfoT1pVd+6fb1
EcoR0V2RTwZpyXosHfti+paUG7B2sP7lDG/ualgAw1oHGKvtLNphoiPuFRMqDV0nyj1aCqmFcGBv
QjziXNLQlj57jYOlNYlgcKg0/1pJm3FqHDqHER+l8IfJa1p2N1LfUKDNuj65Tkpfadd03W1hM1dq
qOn2oOO5qFVdFTVIz2YvVM7a036EmprS8jhm9+TqRzJFwmZfyUGD/pvKmdSxyJJ0HVf6J8vt9xU9
tCttAoVoSS3aGqRq1iwc6gScTbsSxBiSdecAWtIsY9pxnxrExpOWiRswo71R991mrIPXNJLpxoGQ
vDF0yjrg6ojnvDPGa7BEJabvkPwhtN0eXlZmztfcruHnkIrxfgVnWQPUOnpsszXtEI9Sd7dOSGB+
ySCw6NM+DrfRQQscLBJG64oPvMcICYbWnaT6p844Og91dBAdozYmBmG9O2208xxajLeyfc0DFMLv
AGIs7IHhuQ37hI6t5TVFWBHudFTPXeo15FUag4SomYcY5b3fHVrfW3XO7we1ZOn8Ww7+7w78Tgjp
nFlBtm9ygU9gumhS1tTBiV+LrL8LUPu2v96PL7vtHw51HE10jsmWda7Qec+KaS0l83Cosr3CJXBT
BESiRcHjuCii8kKzpvJbUvTz+D/h1/L221/+nk0j/u4sBGidoZLOhOgbJ+I7LnjBoCO1SIywoNQD
QQaQ6+u4paxunXDMIWcO/Lnl5GNLd7g9P3aGEjDnLsKouY1Iq/hBSvqjnGu1G1ue67/+PsRPgyW+
EOZUjFMprvAYfP54/gzxiyes2Om+Wwp8pdaWpGqT0B9M67mO6WbX2Cqt3CQytrLB/g9j6vjrt/DT
ORuKLO4D0DMcGflp3r2DbrLpeyWvtPc4b+8k3M4Laud+d+n/pFjwKggVQNoB3WAsfHcM62MqIu2i
jPeAKExi4tysRUW7cm147K3ttIQEnrBhjlI2er/+gMbP3zGP5YWssswRMQ++e+1JpJZqsiHaWy19
cHss3t6lFgTex7xnOwgVQk43nkZUjibix9Sb6jetksOmA35C+BuOBahSuBIQN7LeNTdhV7GFAte3
Z8/pXRI5b7/UAeDcg0YTVfhNcfl3svwbvZqkicEP9f9Plh+61+h7mfrPf/CnTI30i4WMxdZFAZEA
dbjs/3KXCdxlNuWzEp8ZhUkwtr6TqaHGMDT+DsllOljOdN3EHOYs15Dxjwppz5Pi71ZAbGasQ9hY
EcohPjFL/fGGL+sSlu/kTlce2cY59d2hmqZtbmMBRa0xDzicllBaSFaolRYlMRN35ZmAfm4NaTj4
XRhVCcEdZ/zmnBCOpknewkRqyb6UzKcCF9cah1g174GlWMFwp0HBxJDbewq96yEKRpBY+54dDXfi
oLD76FmgwQa2FLsUtJ3W89n9lu6byUM97vcDztxRHUKHaVtAxyuNikdqIGp1Xym+5HutKB28alZk
kERJYPld8F1aJjtGMi86L0sAq9LpCMmNkP2lNU+kCnKLxO+QxddBntPV4xiz6Q9MhT4UuRF9mLvS
BIgjynU299onWj3iD25iUQdJnjI5gR+87samPsyYeLZRGfSvntCh6ra4gXCrUD5tU9rreyX7O4cO
g9nhQJeEKpbscWhbBbQ1DAR7Lgz6BAuBKcwdrzn5Ke0w4vtacjNaON3TRdrP+pqoMEV8gVVJw9kZ
MbV6AFz0sqMOl0pCgZklTxX17nd2psfNVQUxs+BXyKHA5erbM+3fFeE3K4JYpi2/WhF2X0sKO16/
XxT+/Dd/LgquDqUAOgFYPoOMwplt8Oei4Mo/bGZZBskf7klWAB5gf86uFn31L1uJ/gfPEUzN0Pnw
l+Ah/QeWU3Yg73ZDSJL4VwAmAP+ycMQsm5fvNieewUUSlHjsTTd8GVIKbrs2LTfo4c+FZt83StsX
el8/u7l4xtm5iI3Tll37sZscdzNrtXEwh5z0X+ZhPBWDPHiIgjuIKdWajo7C75TXvE2Bstcl+t+6
dFv9UgPS9VGHqXenGYy/Kcns12Y2zH7lxvE20IpFxXDuEhW7t8McE53qSNtzEOGvUSBikv/etJph
rCcyWUe9wzGo8hvOZ3JVdVa3SrLx0LTOfJKEE9isD44vpqH/gG6cQgseg0MUo+BZmjgNsyl3bRc+
MV0n8DsM2Y5yhOiqo6XjIjF5T7pexLfCbsnWaHZNRtHZWHH22I+cEcwRdl9tIzk46rVkhM5RWsGe
s6rxE1ypkIYV/HemN5crcmT2TraDvmnAsu4GMEzgSjNUcNP80iW0yls94+Y4ta0V2uWroabB1zqF
dzPNt3mMxpPMePLnrgBu6ngr/CLFXV632y6btoh4N8GCD+61etzDbWMWj35151VG9tyBrX+SIIpz
aNOz6PK7lF3gZZyRrl0lHL5SJnrZVVOZ4bDBFK/7dVGnz/1cxqfUjKyD2WqLsFmw96xCKMe1qQX3
hiWQ4tNpdoD5yfMhv74Moiq+Bg0yPAceKQjGRt7jmJtpAZunp1CkdFAYlZdv2iG1DtRvuSdnGVYV
dB+FSJdK7jsTqoVDSNH2YexmjwV10Bcyi7ydbmQEc4qZwwrcOFTRkNTDpVMb7rqKTcGX5xm9AA2/
TPOMirN4u4jHkJqK4xLcQMByC6cG1p2yDydOGF+j/SKxEiXaGoOTfHQMBaHhrLlJA/RBYmTlvQso
YzPmDJto4hXXpj0Sz18yHBRcJR+rignlyhMOz4A45bSSo71tUAzABUhEjB5TAmU3oTVu2hhqzwwL
eE98DbVSgs5fNzV9IjUZ5scpnvRPTU9uRDOJ2pFS7fhWm5L/TgStiC8Q/XKcEFA54hG5LyXyYMef
dAyYBGu9oDKKzpDsUfbBlO4lqmWyqqdwukPT5j3mpU4Q3qbwibSKnfomTPFN5Wb8QdGN5OuyBslr
UhxKxy6vXiLuv13M9NRZjSNSezBSu7gYe7JHhjQcE2v2BnHNWEX0ZvVVjnS6BH1Jwe3yzpIgqdyt
4mlN4p+hyClcaNKxbBD14f64J2vkGrS0Ln/LwLyD+gIE1CbW4Jf2xMgjXj44h06GmL3sHpwx57+I
x8s4SMUisqbsaNroXosSNFjJx/OVlsiOV5tDD2WXxhx5EY/IvWyHypuhQjFmHpBQCz7X2aOF0PuE
cZZJUZdbzqmRzDTKBQMhePYi5XUGqfieank88Kx6PbMYLZ/51YxgqLbZkHdfzoflQi/tG5zW0wUb
cOMOhjI+nFqDmscVmSKGyOCjZyxHWpmziy+CkT+EBfzUOBOJ/SyMtPvz0W4G9H5fh7W3KzNS/Odf
Kx9yqiXCJSjfpkHR+QJIqF8mfHMT5+lLQaQ4WJGDhHVsh/z5fphCRhhw3WbSmHgO3Be3sSZS+iXp
o2S+bouIJsDpFkfVB+Y4AEAklNTYZV+E8cVzr4yuvyF+eBstZuusi/Z50rzJwbvwaHtYdfgHC8O5
G1tzC61lx7DiMSRksGZz5l7aNn+wCiTnWQ1xdyp91yjKu47nGGKZWfY7EQv7zqqSh1YkYBQUa3iK
Uru2nQpTnUN5TZxP1/HorYcxWbdBeTQLJ7gVnTbeiNFIti5QR6aIrh3t6FtKsH4razPBNVk5FTNa
pbIKY25aE6FrxJciRKCsja91Qd9kHcXVRUIIEft7Lg6mIT83otsXrjxZHtJzqnrzBgsf6LjQeEYw
/jz11K/B2sq3ILNIhE+F2mi5OUHonmHsGbDp8WrZTKHZ/PsqSuYvuSLGOVO/KOeo3TLkA4DXV+xU
052Z0Gsi5cwPHNtiO9YoD8kwpUwxxQMkfwOcTc3me8oPOnzO/cAivNZdOGoICIxEvP4IBKvaamX5
Uuu9tRqLkgKuVHeODRf+joiovpYqeNEFmqWWL/iz6Y3w810Vu85X0r3x3kI2/OjYGhPHNP1AY0Ty
Ok2aueFeJ09h1i5bZRqkg5Z4q+UF1kJynFkPTJXtw2Q2Mb9xmvEZzxkME+q8/RJNXbDRKQ69pult
qGBHqphxamdQFlLMFI3MyiguS2FfZ6z5Jy6rZgNOXNya82RtBoZVpZ8TGqfKGPqc1VJr1Aqj+toS
m2KmZxymvOQsUVWvNJQa69ptvXUi1LMezAqbIE97z6glnLr+M4VwLyCqd/pUBw9M56YVLHuF+D6k
fon8d8Xo6CGYCt23uQ2JHRThs5vwHC5aGtCF7l4Obh9u2CS4XyxHqjtHxuIhneplD0GHrt+SgTwO
XTDgyQMFAIdeJQ/JMmi0Wiv/Sq148rVrGjyPlF2sirAN1uCz1ZZn+rBNW/5tmJsbYt36tRMk5Ymk
4bgOo5qdlalJ2EuNe12pavhY6FP2ccDxc213kBQkO6xVY8czQBGzZCXv4t7xo4IIJFQm12PmlISX
auxScWyNQMAMbylgwIrab92wznVuifCxs0ftxhawV/A7jjU/IoTDoAk1IvdJf+nIxuKKKcjQlLWs
ALnMsNnl2JfXJY6noyVzgBG1zDdBWwePFGh1d0M6x8lmbmvM/p1XaCSEXHlgp5DuhF7Wm3jMMOgP
srTIJI9vnKqMG5GH3cPQxMO+ipz6yWaKgD4KiQD8S+QPztCuNauKIUzMh5TD5UWulHbUSxawShj1
vgxk61dNl1BRMQVbXNAubyurdwyWPzlt5q7aJhhuUlvTr6DINVs6yZtdbVDY0lOi47NnuBpLIq+a
tkN8tP3MnV+SpqHdISkUgZOhbvxZpILK+Dbb5haO3LJJrd1czldjHE2LvZHHQB+YW5m16nYG5LdK
KfXjyaXcm2mos/s6aQeC4an2wsz6mnaH9iuSJhsQe+q2HiHNLej7xUtdo3ZDrlr3zcwtbpr4gl2C
9cRJbxhZ9xCzwNu1pAkeIW/txmEM160531MB51yPsSFWnQv4fSogTg5x62eCljpVhl/hO+zMjkce
VL5so+KkJ9YwjscYdjED5zY4DHVwGYc1HT9Srh3w8YeJ6NRFkDBj7NY4VlOxsc35zktZXcWF02t2
rDYQL5gv7dJ8SMKTaSf1mlsYTWvFB16iVJ5GwuUxDGtdX6U0gU7n2rtpPIzsf+dLyVYl9ZMwTyUN
7glYBrdCApB9OiYZHt4ebTS3Y2pn2pCSk89RSobKApSLZYq5Xv405tZJ0z21zQsmBEjZwz12hXkj
prm9DhNZbhMlratOzs/1bMabubLvYkytfjJ33V3kAcLNPJnc1GRyPsE+nfzEKOZPcDy7qyHH4RsL
9bUJJ47m0lBXrlLm2sGaf7RGTj8rSfenN2TG5eDY9V3IVmVjBL25njTnIwVewarO++R16MLJj7XG
MnneU4umxegOCc1UaQ3uVql49IMKIkwVVNlu7Kx4p7veB0/rRgCI1sVsstHGG/PFQZ1fWWDorimO
9CF4fo7ogFszo/OOUzhj1MaXz6Y/nJruk24NULKILl0OQ9Gyj2+tvWnH8tAk3r2uwEquavYy2uKz
SA8zkE4wj7M1XVpxo50qcGBPWaNnV22Uf+YASn9EyfgDqFw3ywsgMIjWRfS5XoSSTqvzL47CrY3X
sOu2PbXS20bozQvbF3tj0Kpx1wUk9tgD3ZlxIm/MZA4B3xqZeUQQq9fONHOn9cXwSI1Wf1FXZnE5
k4yr/Hrqspu0qB3pM3uNPlEioxPgT2IGxFB+aR5hvFTQSeOW7AMyz/3ihjoLhwqluIv70H3qGody
VTMvPs1UVtG2EpgWc9nC8Qq/14eCKF9ZbnAFuxdByQy1ZWHE7Twf4ikoVtXAIQtvQnodo4y/iI64
tF07lKJIVFi/gd5QrhgNcgmFbEpoISOABoK1+0CffQNdqYOlOpuM7HgOzpM/xgNG57XZdv2qqVv1
xrQ23ztmF+8R0qr9qBVf03GOV+0UOBwf28u0oeakChv3zs51dRtGXXUHYmKmWqtmd4tWv5JhSUQr
MDGMe25w5I09cPAL1o4XlVvwzO4hs7Ww+TYp+Ff1+Y3qYy4+0V+pPk+vbcRmAR3+e+Hnz3/2lxos
7D8wFuHWkpTm0R2G5PuXGmxYf2BDNckcoez+pflYqMdkfSwPzvxfVuY/NSBL/oH5iVSRSQiVORbv
7h+IQD/Op/DyMnthLIEcvMzFEKV+lIB4rNWcBnr7lCsWAZ8utv4E+LKzVzwK24/ffTF/Mw1b/th/
tOfzi3mUSyzzR+L5hnxnQQzluCSBOusUaVP1csY1TkhEj2ncwR4AXIFDhnbvVxqVmv1/8dImOjpW
PBS2947VWEvF2JXCOs0Lxq/wmgW8MQ0465wFjQdAjohuqzfgzNqAjNFv5myLqv7jJ8fNDPUeMyBw
GfH+5Q0zDgvIxOYpyzUAha6mvjHUYMPF5fJyI/Tn33Ah3nUSL183L8qlghOMch/HfPd1FxXzzbDy
jJM0CqCNmMIORm5DYHHoh36sOvijVmzy4r3o6UCNur77YldoCplGeM6vgS7vQAwm4x7rC4vbzBPj
lVEe3amBVLq4wHmDvSleTGQr4BagS8asAFT465/uxyHxt4/BjkaS2JOw1MjZ/6BSulBJqDyNjJPo
Na6VHk7qmLFnIP47wh2Np/IC41f75dev+qM2+ueretweDhMcppPv5iRsIEljy0acOG9AvDhDW5wi
etMpFKJSFZaOtMBRSlZdZMAFvPjr1//5xmQsjhveQRbmunl/ryjPK1IEfXGyF85IvNwwkwd8EraE
uP71S4ll7P/u6iTAyJ3l6rzgT0PgYMI0qQO+OVl0edzBTkeb+IaeDUxItWNqEbHW7eXu1HEmVLgf
jRVkMIZAi5Xz1+/m7z44SQNWS2Y0OEfeXbWGxUwciyfUdQDStW9BpywvDQqZ1OqMDvn1q/3dTQKl
aLkv+R9Hvs8ciArwnmYq43SmExZTBBDEClH5+oWzmeNGOZgKKybMWa7yM/cvV7Dt/WnBPQG7wkWq
2ZA8wxrn1CbVcfd3KYxCrJ641iKFdlucea3SRUM9emSNsu2vP8Q7us/5YnUYHTBbwEfB4OvdLZJk
YdC7kydOSJ4AGs7l8ufr5qzlna1pGYO+l2JKPZoZ0MXCeF6QNJNX76tpIffGqUVhwzzMkF1EoLdf
3AbF8Nfv829WQTI4DD44jKNQ6e/epjYavaJMTJwkjebEQpevWVRN9SIWAmdNG85vruzlCfrDlU2+
jauaZy4uB508zrtXzLvQSPR0ak9DBd1QwsF9DTDa879M7A79ItQ2po2yCesW9iYBNdSbAZPSfdyn
GMvNYuq+mCUK7JnYqWvcBDExo0truSbOX1HLUwPMbIw5s1UOgjIA60vcvtYBhoS4ntGRLn79NfIJ
3n8sPgm/MxkLi0DwT3Hg2U09gvpTeCq5zX2vmmbwno7GttTMJlQtBdJnEdCTbm1ImO4+5q0ggn8R
xosrj2GzP40VQ9bEUBs6AJwtaCit20d22wu/EOFkrmi3pXRWN2dq//Ro0B4qjcP7WncwKK6GEDq8
j3JGo7hu6NwZHAH7DY8AuwLFS+mmBQXi1FNYe+HSqnpJQUB5rRIckWuax8npMpvQngVYqhsBce+z
nrYYZdkH4D2CEkaOcVTRF7r9JptpU1Ss447nNyZzmZt4wZPqttYXZPMYeXawssoW9cuB8rlSjqNV
jz0+sGFtBo5zTyNnxOknoc9zhWZXK6aiYYOODoO08akmcD/VWoYwUuRtl+7nce6glaD5NgcD6Jt2
CFxhXSIHMzSqVHDUsfrfT4MSve9w6G1OMEoEfReyK/6XvTPpjtvKtvRfqVVzeKHHxaAGLwLRMIKd
2FnUBIsSKfTtRf/r67uQ7SfRflK5xjnITKclMhBoLs49Z+9vO9irTYh9RRzV9S06r7zdTr4dh4FI
ma8j9uK1m3GPeLOCLq/MXWJO4eiumn+P/QZHV4GqlmAhkm0pUGVSAtJ4HmreAsAL+bGZPgcUQgXh
FTLMaQXi3vQuRQbiizezEQPgICQAWVd9gkcJH5KoGcI2J18Y+2iuijgj2W4SF0Sa0A/O/O6LQAlM
ziSO5oOekKrqo/e6bk273bd+QkeogikL+vejIUVygrUxBYI64PPMXgqkZCMPHgrsPQP06lPhS+dj
pTpajVvHr9wo01vUh2m3WUiiCfSey0O0SodRNKqdoDC8gXalyqdTpLZpgv6naUQNV92r3ejuFnpe
VD9ojkiy81AKmTEtKHO/ePCGsNJ9bgAEu15QePifsg3cEo+o3I0NHELBcwzCNxxSJ+1EMyCGksfo
FoHIDL/+qMUDWAtYdGmJgLKZC7HXdFX8LFhvqyzjTJcanWM9oh/Laq8xqREjzGqJbHwm0ifMHydN
csWwOcFbJxSi3w5AyemDVAhkk5m7chMLIhT3NjJptAAGe1Pkj1xZl5yMfJOk9CZ0HZny6APIVE1D
Ln02QI5O7OhD74ml2y6zqzLnx3ETJTr1aqdg1ETCOC9TuPhPK3BMLgzq3N5l4bFZhzwQe7uijRvS
O3hCBWAAi19PL5ODY8eBwmolR9OxCjJarGfar+ZDozvqLyluc9cNrM8sZ2G4yW2/iAIIsfybaFGp
IUNC4cOwnH9BLAOjOOFwclqItswIaLhJ4DJGet1D9/BRN3JUtCH9S9+rpjum0LzUvyVwqDWSGk5c
hoSuQI+lhc80GjGTr06l39rGg5Q9/7gebdH3SD3xxTANo+wkztOBXt+stUgG0669WbG5UQT8vl+4
IgNyvvOsgIcDJmAaE+l8t1KKrTxVxHcSywCpqNApVT3CuXFeEMTypXgk+aQsHphwVdwMqfonwsRq
SSOH6lPPBueFtCy8g6o8qnNUzo0fNc9pVlD9Mimb79ZCYckamOQ0t9wXUw28Vux323AwkynSV9vK
Pc4FMVkXVaPp13rMIw0NRb+WbZ5Vl9xGXDtTHW1ZNbx4pOLihxyRnuoU4VXV+LQyMlDifc7bfM5M
rd2FylPjgosINwMtquqCCEiOfOBnIKajLJkuG63FTrUWOL0qVbIl7V6/bX4s9U6eoeFi7HBoqm5t
LWvQguNKt68QqjHBLRz7JfYsuHa8djjA2pxAFOPmGNNdXRjh51yL+fByfYQMQqOm/YBShjKIN08X
tOMHYY/yNfdB+7ODEBR3/F8/MngBlzbD3qBSW5UMxc3BmIFRswxYF7Rhxmt69d4FX6c6W4NGb2/u
Z2Cacc7RQihqjyDvjOtO3Z5OybhYj8DyELXS85vTgXLVpuPfX9VjpDHaAlFPlcY0AJZDTLtph5iL
gwkVzK+zM85ZZ0D3m4bEe0gz4qwgpwJ6/0Zkz2NUmXGBgmcz1QXff10Espzm15yQzbCF1u9fuoCz
LhqfJ6x21cdjThBbcJ8anGcMRKnBANqPuKqU+82xCS2uagJqLsh5kXMeRkpQoDhQ22PCFKY5cl9a
0fG86oApdmZCInEQYe24bFvJkax3oj2lhjyv/HbHoEbfGS2DA2raJqJ9OYXmeCEqdYFSLGZQ5isI
5zB5/Sc6VpMPan7R5G5xO4oiU/TUQCaDi/tZxz4BYch4MDXBHsBP2YYwxTUeRoBiyDJMopKJek59
oNGJXz+7Uc2D3hjjdLt+Q95E1MhSqUzbitCcdcO7jBrdOsPiESWl7AGMUaZvRra0D0RYGQ8VsBbr
2zh9gdGRf6sY19fmvMAWC+pcA7wuYr47waz4Ak1itsAWE1fV9+xk1Flr64GJYjoa+RK06nBil2+R
KeA6Vh6e1zJGRZljbrvTl9mij2Yt1r6XuSEIk45YjpKMh8u0VRBILFuHIFVu+Z4bnIFxnISutRsH
rznOiUPqgONjr7qb2rFst+Voo6XTcC69kEnDysLfRuWpIIR53oOgbyqt2vm+GPNTgQuy2BEaZzb3
YGBGbhEVurEFgwbFPV3XPmag2gHWN4s8pUiktuR2x36F+K3qvJ6Ab2uR2rgPqcm6oBbWNvJ446z3
bhhNvNamrm6Pk5fMn4mfDD+s9yfy9fCQ0gg4DGVjZ1deL7hFhA773Xay4RTTZhZ/3BC04sXX2iM8
elu0Q3vU0hI85Fw7L5FLL2W9KzBCKW458yjiMmiqGk1J7IGjug3Mh0GJ4AUxmBs5hBtu5wW3FlIO
mhAtfIplk6gvpI0Fd1/S4v5owb/Lw0wh1AbsPTGy2XwFbjnjgSy1Cso6Mdhi62FluDM9kl32BCZM
tz0Bv08WeKgbfLHLB3bq3NQ6sJp+2ynq/roC2lmXEYIcepzsLlRxD36XcpYsFP80g3gB4cOILAQ5
NR5FcgmjdgjxHwmAu/iRONq073jMrGbmc6N6nu6K2W7dTc1W7cmfZgo/J+J79zPTHQChdqcFCAlh
7LTUQsv9YIhkOnb9UMY3zGT16gK0qXHd6gNH4QilaoiSirtdN/DhP3QOKpFdpGX+kz4S/VDWk/q+
nj/eIiLy7nsxFTfIkb/EWqgRhZHKI5nu+sbDW3om9ST9GlmovD0Tpx0jghKqXmXxAE+8HtOk5o00
07XeojTqfCqU2X3KUvIGnKTmglbOuEwHrU+tvRr7Qjtuqg6A6ASYsK7TK8uWML54axYX7OynY2mQ
yrGFh1JehRWBh/6kpDuuCn1Bp8od1kqzE7tpkp1+atTij3YkohGJYIOaqrcrdjB5mV9olam4o6hd
tg250dp9lDJp2LZFzX83vhKa4N2ZbukAjhthjchswLTmm0ZRWAtV0jWxQAETMStfg0wANvPMeNwF
Wc4qO1o+j6ofK8PW6jcLF49mk1lRH6Bg5Uin9WUSxqzbaD6r7K2ixuTt4tfAyNQ73NBI+wiFCntZ
N4YRkSL1iVGOQtZ2rGkVnp/wTD+tPa4RGYnKpUCbQsLNhPrbgAyPbRDPkmuhj2IPxnVVbMVp36a8
3PoiYrVa3MR8WJHB67rppxlWYrC/jJabkmciV/VmHfrismgFSOGwpn01Tnb9vAYIVR3rXtvwCHUq
NyQJteykVc7ejdTKvCwVbyD2dvHRdOLkzR5cXZ6xPPLEdRoiBSdr0K5/qzAaeiQab+YiK4V94XlI
sy7YsE3dUbK/2Yi+bw8kqvX7HF+0YK8C/FVHJPUgBIk8fGNWJfo8nBIv1XhthCFxEofC5cXiDrP7
ENOxDhamLxcQ9HgeFhW88K1kdvTiqxuZkJl88pT2UVagR2S6au755PghbvvpcVK2xtiek8e6j7JA
8oSwOrPbWTDUmr238ZiwAJ+xa+221VzcbJTTpdhZrTUdzcjRvvS15bxCPV/ecqrKr0ibJeX2mDMj
B9xD5wI1o0FRdshprny0OVzSWcIwhwLZlGmzayrS9BxrSq6BAIogSt3kd3hy0b1LjT9t+wL3YiYd
/TALZ74GtBM+4h/MvlTNzG9ySlIzqJRREt4upcaOlcCg0cDgrLdQ9v3BfV7bCv+Z8PxiwqNcJz/V
9V6vqWbBS1Z1P4h7//jBP2Y8PulkcJh1+MtKo2sadJT/nPEonqzt4nYy0e3yPzTG/hD3roMeWgb8
MX0SBwjNX2JfBj2MCnTL48cE80NwNv9i0GN77zvavkcKN4Mmz0Q5TH/1XWMVK0ItWYHMywXgTrQc
Ehkh3wkqU0fcJK+0zia2qPDQOg3CwfmJfnl5JonJJacwMY5yqLXLkCEVC41W0Ehoqq3HDuWqispj
3Fr9CYeTF9i5756rvtTum1LiNiwj7dwlggQBu3DvGfJOj6nwO1SRFcWMUTfVppBps3Ulvjt+H2JM
Wq0lcoDQOqQNjEeOG02LEx1JVKSVUbQn1h9KsSZEwNvcIHWnZDP0jY1a/9hI7D00JzKEcO7JsMOA
fCs/iKPmtXeMMejTWm6LoU23Lb29KxQw0W7syLcfdF6YLpu/XGo7MP1gE4juOQDcpA8QmQfM6uXv
/jykO0kub7Dk9i6f2ps2Q8iE27xj/9uRq0UbYls7FCdW4fL5hcGeEa0k+RJkhBO+mtyRWYvMwTAW
ArlMH7rDTGBtXQ8YZdObdvYR4Mps2cEkMDY9Dg4sxjUaLd2xyApTQ/ein9jZ5fJEssdVbJAjQMbB
nYqa3HWhd/ALjI82stowN6lcAOpsbYrvwAx1mN6psXXi+cnphnk7dOpL1FkXdD11L3iNaNs6mrvL
Rf+5QGplTVNxqksjOddtQpCyOe2qxdtrSV7vEVKWQY/QZoOjwds0jnv0Q59eHboikYEKTJZQe5ot
wmosHaKZJKxrwyBn2pt25G80lKYXJry/By+tQQEbYgg8b2z2zHScvSk1Migm3Q5K+gcUQfhue7TR
DTiPnQ+ZoZ5q+0wNdoE2odiajtUEvWzHjUVARmyxuPsNERg5WNIsbR4q6T6JablM0fluosG191pJ
RIqhL/HBq4uXxUk/pU1nH9IqbElRQ/qk+6l2whz2ZpMARpCy7wRq85PLaeOO3BKijT74VQqFIMpQ
WNIM2lJbbAekBFtb5jqqWueigcr4acZ8jH9fnict+4zsbdpNsah3KaXV0SnxqS9LiRk6514AJow6
gvDXY7zYPaDjGfdKzr/LjPajJrtC4ThCYHVyAMU3N/jcuYKV5dt7Ny3afWilj63pRlelHhd7S3xW
pvHTFFHTObWrPeS2USAAcmM78PIkuSuGjLYnjmoibJA21YnfPkBDBsro+dndQiZ5IOVyhRQ534s0
Qx8exu6eTNsicBhH7MoJSEJnavpt4rbLTgdTu6NFGG97JzODuLOgOXqpe2EQibIlbXeAkhhddM5g
nqWm94EGPO6xdyzOogitwCQqZ0uCK9mjIwJG3VGyVSfVH7H36qhPDaKmMTorkgeOmn6hgF6y8j7T
rPk2rHv9ZHQSdR6cfLQao5bFO7cWo9Izu9s+L7OdBVdqz6Gid9NKsBGudoklMD9UmXtNkNDnZHBj
ZcTJL4YGl04vBi3wFs4nQBW4KfQZkEnqXycUzAFCYeekENmb1O3udZFckK/gnsSCKdtunTs3pAIY
yVQi3Xwi+nfM3cC2J7CZjf8FhATNCxTTRn+b0yTf6GliHGg2vxV4k/Y5Bqa28y6Tkb8vCZMeXfoc
AL9KzMNay65L1gG2CtqLnkXQq528NAANNpFY7mVF2c3eDEF95mmIZXuEw7pAqgQfIGjLhlsqctur
2fT2OLBe/AaSoEiwKg2wne9DM462hefv+llDbUO062Q3bwM9zw3Uz/DaaVM0lrlhnEKRA81Etb/L
VGeMPOeaNmYhjrGl31S5+cl15WUa2emFdKYnMUoqrgTHZT5b7kWvJ+WD7w+/5yFhv3Xtvblwq7ZD
iHx0jMgwN/qzZ3dkoAuTCXlbQD6ucjICXQDn7W0eQxsIrVhsw6b52ra9HiQ+Ymhn6auDbQOrDmEg
75qxyy9JNWwP9sTu1bFC/wgvcCOt+JM/o7qa7flIXLxxRn9N8ro5N/tO5EqYxieWy/JA8FhyKzP3
MjV4CU0aytFs9HmejSjft73jbPTCuUcjR6RZ1yTnuZEXUQvVGOkYmfNdb27IMteDuGjc5zybPo5h
3x+92XsFZEVUY5TH+57+12EqJ21PBCFBPYwXb7p8uNUjj0qScRoHPl7VjQy3nQMxtAjvKqaOu9FN
0BEn44YFLb8wYu333q8R/WvTq5Ug4bTyvr8Qw0LvK0lasNmhe2T9TU4xIJRDpLHKjYKMyB7kKJHr
pnVI8MPsI2+09iYsgS2bBuMQeenvI661i0UTD3MnyfttyDHVoq+WVnsn9mahii1aNnaNrtmpKMQN
u9BPoma7UNm8yRdW1X0LuisYxQzW+zMZw2X3aCddiA8+Elrjl8dppBtcb6cOTvz41MG18XgUG1ei
DGy4+wpxE2JAHkHvkOitHrIqLRxpHRuzQta4pUFpho9WTxYJbf95pjEZ7RxJMws+e7PUY4LPhN7e
nWUXnts+M9IrF0wizHY93PkVrnlnQ/57QjdxU9bt0rZX/ymv/1/Aj2DilAn1fzbS/p7IL3iUkx/1
U99+6o/aWri/rSoMnLR/FdB/1Na++Rv7RRfFCnY6ZqFKWvNnbY1zlsIZDiN/gunb4jD+FFGZv9Ff
gNSIuspUqpx/xWd+P9fGWI5UAb0W5QfZxe89teh+4qynEfWtl9sWxnTrGGzGl3mmqdC1TBa+O0G3
36QZ32MF/ukDPVMZBtVYG/ce8+HvjHsZ37o268I5Ww7+J0MFGII5nW7dHHISjpFfzdHfj9HVF8R2
yPlCvQQ9890YnTiGRfqo0c5eFbsvqercr71gicnpF7qX96NtPopLjeIGvY/u6e+REG0MzbbPDPuM
yphUFg8lmNMt7PxdM6JpsTDy8jLsI62ag/z8rP7Dt+ROQqGHaRuV2ntGwNhkBNoj3D1LE9VHKVCc
b8DV0z+iO138QubyN9ENX5Q7EK6440JuFKtR+7trOFHBFx4gr/NYoZVjwkLDj2RgnV7z0Hk0Y0qm
3MSF0hsT2xkXGPlZRsVUYGKR2uoq1vbffn0XeZzropPwiOZ+D2IA388YKQrtsxhtvq6vqGg6ajWs
d/9fn6UQrsiOyL5AuPLjDRyllp5jG7fPliRRtYdA8ep1xXTXq671z7+Weha+Fzf5vosshnQVx9O5
td4LqRKa3XR3evtMcMpXacIMZD7wb0VL64egn1z/l1Xq3QOJbsT2OhLczovK+E3FwKxAuJCiDFrb
vxITvoN2IFbiK6lwNWgW6H1Wr/D3jz+1soGW27DOqZnQu171SUao0dzOqQyfRZMxcHBnHlKl55op
xC8ittMXPz+x/3AHgyZj2dPVo6p6eD9exNA0TGoKNOuT6MwTPk8DwInqPNaa5A5lrgCiKzNphc8L
kbXB+vA6SmDICvIrgeffH16OwWar46srjcT0x4PJaDuQts6ucOW1rW3gEdgK8bVQx37+xf/po1yX
GHoDHIP1NxnrVAsmWF5jnROH0+v7Ku1cyxU2Qbhc/Z9/2I9LPcu3betI83wM2nzc327fOu6qHFaN
dgoZwREtDPPwubSIj4bONkGMUfbAn3+i8eMSrD4SBJVKIcIczgV+L1Ylkss20ZP6Jz1kUGeLkj66
bCVwgVFDiijhJezWZnssGE2v4WAF4pwzmyq65SJxmyPNgfa4riDfJqnzwrByE8YagvpETT1/fsjO
+or976ccQbWLB0tpRFFM089bAxS+W02BJ6Q2XmP7xN672LOxXzAHuZTUhsz6TaUXM5I9evFtFWKh
rGd3Z/DLPrTMLosdNgp2MGFBciHK1qh7xUDQvU6EOLuwBleYJhKhOKDxypCTNhK7KyNizL7OFHIX
4YKe8mOtGlR7Mz8XyJRI6NFMm+dOicJEZFunNuUEbmbGKbc4dRnV06zznzqsseAx/bAxjoZ0+NXS
i9kUFX6MTxdbbmhtoj6x3ENeNnyGmv+6Mkb60JBMsbEHG2opc1rjWsbsC+izMaFAEtMRy0BH2z2t
0jdc7gUyl9YgCy1jS/KKSKt59mrCgE7Q1uc7giymW83ssOAtZJsln4wZXhqbPurpjG0kQU5Njg6o
7DL3JUtUcrWdms7LbPjyVUKd4w09oIsoUCF8qUmBB7HkNXetSxSAM9KBwCNNAjDr70APy3d4w6zD
fVxQPKRKHQH8XttaEwHca/L8bJvJYdWfrsrMdQDUrbFy/hh6d1JiNcIyjv7CV9O2lWBikM70mhWR
aeIawke7yJC8BjG3/lNfz/wteIzWhR+WnOVCTbWWjvNm90pNsb7lSt7Ue9qkADXnIm7TI9Ztknln
z1NzoNi1Ef6U8+KdYlWYrBLYVduipybDJcRqWPp1jan8qj9okoa7JgPt8uK5Cn45pymAQyzMM04g
PfTc0zqp0RgfywNwKhSY5qT01XSY6aW0He9Ft4p5/ircVNGuIEX1OtbQlQWzo3I/0cswGPRmm/dN
lzF7AGdlcS8PTFSeJOHl8iA67NuTxji0NgTvoo7YICKz6QWZGyRrjM+w/i9X8BeXaEv8tvMyYAF8
gZtKGrEsW/IlnNloCcVbzOOyjJEXYJyzP5XDUMIFTearvBnyoMFPZWwYuRlibyR6e0ryCmJLrpQ6
Mp8m0CpLhVFdhi7D74Vtq+4iO9t4TjpfC13o58KOK1IsMp9GGDs7lF+avZ3LZX7AS+bs+iqu61Om
z/iouSdjkpJl+YGJrCjJ0uoL5nFt91XYAFQd0+uvfdfpS2SEKQiYPmNl2i5KNDFiAeQkoKf+6JLI
KvfSmd0v4FmMQBICfImSsI32Sic9QsGsk4BsofIwVDgh/XQgbJfowvhTpARuXtXVVwqfeUDmE56N
ufOag5Cj+1wzwN6TtrR8gm+DjdkuohlDhb18KvMm20GwX8DZDVxGgZKerIux/JTW4GsDpJsyyHQg
EaoYJVh3QlKII73Qdg014GageNkXwsT5GmMaxAQc3vVM1C9Qi9cXaYvveHb6+S0kBXIXa4n2gQ5w
8THJBpvOC52mumQnnDaSDPisffE6m+cDHQmpxgV9uwEScVFX/CKhIe9AD0jUakgcc9ZaMV4oD3kX
2RyNDwF/06KdjyDqSURUl1S64ghzbnYCDGHjxg5DPohpQBhAoo3RnNB4zzsZBwvR0TuzqPrHOnOb
ejuUck/DcEaIoX/JPVl9JOzY3CS+Me2lRl+wzzkOUniLD7yVoBMvLO+Xrt0oIIXOFQUjl14y3itv
SaWvb3GvcFNrLhXZy6rK0Uya/huplFO7qu7M9OxOakqLUw2JCqtt9wrCjwWJdHbjgbY/t6xOy/ep
9Xok3aIH2wcVN57QK1SNjkQTpdtC11mrnkMDPdo6UF6xrmAbeR+L3gkJ0jBthc/L1W8zploevtlc
ECJTmCmCkjaxj5IS1VjgwhkAkmnz6PexA/12srFdrNquGnceh+bhMd1AXM6fTUYS1HNxj/rcgvnJ
Mx/LuvhE7Lmov841lkmUexizc6/D7g5V4Q3JdxNtnUxzfkcuS6B97MtjDs4y3pRTlPSb3Ejjz3Lo
XlJUCzvHJoRji8G2kR/zReu1+2SpwSEJMxbXzE7QL+ZJtqNj1xxTzV32syjrR4TCGJ+ZQo2Pg9MW
dyiAvpr58nECFnKTdSZzYTfHam/6GMPtvjZfoy6OXpckGe+BLXDleOJp2tG7JESHNtSyGeIkm9VI
xju5DpNWuq55DQnSZR3fZj3I3WPnT/rZbqr5imgj685dpkTbtAT/GRuXq5BiIEDEpZX0e3aT0eVX
U9vaNwvy95vGsPu7IoGt2VaG/GIPWr6rusX6XPnucO7cmuauE5r4N6Wwkm1GsvJm7JfRB3+cs1yQ
NxNgt7NPqIE/h7U23uP9zLCp9JiPk8j5lI0uaUIt+BLelYxRNkhEomufmfRVOznWSfNH5jvxEMkX
Mxnrc0F40a5MiJgzXF1D1tzJosVMPSd7unU9fUnDNMG52hCw9jFWmwfycMkWKDEF10kcXupzv3zo
Yr1ifBaNz33eNf1Ol9JOTlMyTc5WVEjYNyIcRXbtTuhHDj6JHEd2udpl6i3VI/QoBhEaLf5yY2qe
niE7EOP1yBv+qzE08qpnVKUgqPO5TGWRB7Ufh4hiDLYXMYvbIbPBUaHYrNEyRoM3fIjMYcQKm4YE
wUiWvOds6qwNibjOJR5mllFLn0FnY08tR3C9bY9pvKzMqw6bqMP8qsHiLXLPZkE0xjeI0H249zXG
AFGNfMK2G3Nn5e5ylL2X3MnCaB57Y5ZPImcwN0wQzhZw2QB+GR/ZOqqSzbSkXmDVWLK3CGriV/Tv
vIc6fR625JMnOQFYyFOGhX0KWXkQbZ0qTG6Yd0yPejtqV07SoVWGl2DtBbmGeP3r0tk30nPAl5iJ
Lw899+5XdADT77Wwui+jE3qvo9vRr9XRUcot2jJETWmVEzIZwjL5Snp5k0B6wSxw9Lr6qxNP0a1M
Ue1ulkR2pN9McYV4s2yCeEqaeWMjXNlmvJ1vtBzZpQlUoQv8iJo9WuZpQrBf0Tx2ersT56yHxqDZ
HjRu5KCo1qMlvUF24embEFbpTennzHxLc9Lw5VlctZwGkg37bARM+wQbZgrtzVqv/0dq8AupgbJt
fLezCV66l//1tjZRr1+Kt//zv/8rf/n8UvwgMvj2I3/2Qe3fVK/SsElVoFWFa/MvjYEQvxENZ9JR
IpJDIQTZ1f3RB7UczKQeTjTsXYRmEFz7Vx/U0n8zaVvSiyLMw9Et/99pDH5otTgqSFfAtwR6Ruo6
JdK7hgAzEtOWlq0dAQHYzMrSeTn2vi0fvjsn/9D9/HH//e1j1G4P66oFDOV932ExZDsPC3AyuSAR
zyqYRVavi5tiHEgp+Plnvdt+q6/kA+2ElYjfxqXb8mNbgWuRsmOxwuNsVP4NCp/hysWce7IXnYLa
LcCT//wDMYP+7SyyzAONVF0rg324cut9t5WdkAQ1hteGx2Ru4XGEKOwuq7aHrlNpmEO2grfGE408
y9zrfQSiwGFfO0PEGc3y0DhkCjgDE55NP6G7rJVyzK8mCn/Iy/rnckray8aX/mGNahgXdvjAf8zt
yiZif1h8yOmlYAFtu0csbOXJH8hcgLYOJ3GGD27DWSiJ0y3jw9zoyP4iOe8aXlQfTM1e3nwEkU9x
ZrdPXh1d6SBdqc9yvPd1rh8X08quaHS4YhunVv/BlH3xdbGW6maxxvTRxHvCeC/M90T0lmovArWD
yIujXgEgaJbGPIiBd1vbzOPOiCeCxzpLnrHNVNctk17MB5n1oueRdswZ0gdLq43HBvwiwcCTH7rY
bs3qCzm1xSWZfBPz+yXuN+iIBQI9Ye91abbPScZbOQumuPVks/HmMRrlM2BZZ5aXBM8Q0ruyBMaV
K8AyC2NAV7gBgPgIuhWCAGabeeevXIJRl/5rKiRjOWMlFxTmDMVAU0CDFjUobgwB5iAjnd1h+m/n
N/rKQXDtqLr0FBxhVpgExmbIC8KkDUwFUQDEDk/BVmiFxDLueCOAclHyzVgBGKRCMRQe8bjVpHd7
sZIapsotXluFb4jhOMwticgRDa5zRFhcvTEWJ4bKxsmJUcNfNQoHYVum9sEqk+VSX2kR6DKyC7cc
dBgSSUoeolZp97ZCTDCct4+Dwk5Yc5Jd0gnpXxF6d5+zlU+xRIpVoXVgKzgFMohD90vT5dvRGNtr
LAEI6L38FSfeCIbXPocKhIH55tFHJsxNCiRDU7iMRSumrZzGknesrW/9kLLMq7tzSsOeyA0F3aCz
nb7QAg75y94nS6E5YgXpmBSuI1TgDjeWt86kWB7M+2xubZ6eyQH1geDShKcxvE0KA+K0WneVKTRI
pyAhXFnncz1l2U2iECKZgok0TgdBuBN3TeMnu95ZPmp9a11DfzJ3GNjktabAJJR34325wkoMsCUz
/JISjom3Ek2Sb3iTjlJ+/lKu3JNwZaC4mJsZe84rHWVRoJRsZaa4Kz9lXlkqSMbhquTfICuom+gE
hSt9JfuGYpm+gVkWrUIZM5PR+GC3qYjoZRjpJIbxwZu7GCmNJELPmeM222phRtChg9kCAbQoER1A
9/c+TpodwSynq+NcUAnis6N1NYu9TGVCanFUdC76y3GJ7obM4W9adTJE17TE+nhDkkQ53kbQKAhS
qN1GxmefEguIkQSj9GzWcY+UUS9DLd6N7eSbT2k/atRSE/OoV2+KuVBxF3faCYlB1Lf3WRGWBbIX
X2bPmlNn977KP2HvxjJcFZ5zHPQuf/LCGZFEaJnhTL1OXoYzDWQYguIYCf3QgAk66P5Poxk2lwZV
8dEscHtvJjj0M1ph9oAmyW3pRmLKQbQQugRUzgRAuGYZCjiXJfjlTJl2YN3SerNLZJzKlY4elPAV
RZ3rin4pSU4JgcBpAqExY3y2dt7gkdtBjzhYaXs4FoBlSV0AoJ9jwqoVE3pq+aem08r7hf4NdJxS
62tCLsbiw2TZ9Zvt4j7lQCAOZmqDWQPyW4LeRUmwI369uhB67t/kTuK+5ExwYmQAg7EPpUcEzYhF
cJuJgmPDyMqfOYrAZwqCaiy9Yx+bMegLBAHM9xG8Oup1xqkUzOhjep7bPFhfdf+pAn9ZBap51/88
EKcKlNm7IlD9xB9FoGESgUgumYtfHaM8o8M/i0DDY6yNCZxIO4ckOBysf9WAnvEbtmT+OmZiR6UT
Uuj8MQt3+COHUbJAT84kzmRM/i90pipk8ft5G4eDAcOxDaaa2LzF+2G48Ia5KHrdfov1pU7hOy6h
pQfjaGoNQsMuNecn/OpJt5ezlbOXl7PjfJnCvC4vDchXZHjXmo3ePmuExruyJCKLOFbERvH02OqF
lrIgozVZXGJNpmgAi2kNjT1skbugLgmwykg4YzRs2VxFOrvyx7hTBrCcl3MnApu2tokeq2dYeLBk
lDRkBvEq9dttPk6aCPflkEoQZLNEZPSrOeH70R3jCd9CIiD4DwBqFMQ/FncoEQ008YvzVstxQPRe
IPKBJsg7jNLIjxw4atvJSMria+OiuXwgkdHn0ExWSr4PjN1oevzu3vqHatpUk7H/Hp0AE/Y830Cx
7BARRRDm+7G3R+u6qGQbvRq57mRXNc2f7IT+kB7hQUlikZIWXoKjE0tkLQi1SCdMzJtUr6vspZrk
3FAn9bRuTrzMpR7vljBaehSyE5di1zHfoCJs3RAyqosj0r1elgzFxK5gZ+A0Gz1i5+7/oop+N/Rl
eKXuQZxTyLF9xCHmj6c5jMly1OiWvekjlt97p0y06o6U6Gq5/fnZeyeq5oPI/YbTQ9EPrIPP+/GD
ZtZYf6Gd+GpxtQ1rV+PaQqxo6jzhk+Wl9s0IcJV9/Ow6OSDd2oi84Y43bfmrLI0ftw0gpTkQYSrQ
AcM7JnfvRtCGFc0EKaXu6yBF61479Zx2HZ0wDcbGiXpsQUj78+/+t5PMGI4hKJAOQ6ffq5ao7zcq
mhFpHj0M60veE7I1B81ca2QpDSRaz78KqvhxH6a+HQsXoR1sLxHDs/z9+FlmUuZZnTjmK5JTmdhv
JmV9HF8g++S+ixhYcIrz2VVM+n/7JbmHUPUjzwfCwvjnxw/G5ipbTDbyywSDU2D28nIx3JFrnnB2
f/5R73Z+6ksCiUKO5CIgYPF+P8NOq8rIxsEsXmUOcNE7JkyqHnOzY43adji2Sceb/CXUi8sqIWpI
3zlDnC1PqfRqVO9FzoKIeykNC/9DmrroobbxUJr5ZQamQMzHfrTt4ldz979dGIcsaojmCFgM/e/a
JwNeJiMrvfwCKaPlKAArZenXwZjJiK6qwq2sICwGbEe/Oll/v/uY+jDpRatjMht/v2yFmqFPdeto
nxcHRx/eLYCd9NY8QYSOvjUsYHn5kcck816AumBrDpq2bX30k3BIhoekWMaW5Gd04f+XvfPajltX
0vATcRZzmMvOLakVbEkON1ySAzMJkiAYnn4+SD5zrPYeeZ37udnasttNEgQKhao/yOektvJo50C2
mi892HswcN9/tawL5slvUTbgBgPoHSyTKETr6/zderjOdNXQNc9pmAEJQnp7lssthIyOSbXMtPfU
PuppPV4bTpyxmvraddkMaqC/BMuocJP5GxOwyn/6vcnIsP3BLgX9ablN/vM1ALuxILog25n4n/EG
oWcCqjcomKlI2GpmRN1JNDc3NQAS3ggsYB2ijT5NuaA9TyhyI+Itpy/LrFOIVTstMWNh57lDkDcX
Wvs5+P3WY3236ZjpEoibVz/8Ealna+WA6FxuWf6R9xkHNaYmHos594jKTlQjy1wP1mcAMvjBbwfs
ypfHRTqBuldd66sPfc6fjKu0zokgqxReJ+/MTtEhw9rR0Z2Ade4Ig4WOeiH8TnqieZ4m2FvW2Lev
+jGHObLycYjgI5mPKy2a6wpHsDs5BhWb2dxOOSG479wcq8E8ibi0kY0RH6f+oK+G44Lwr6ECZu2X
Nsw8dYhpyman0oXsuB+tfqov09aYh4thGibm0hTGOvJlqCXNl6HqUzZLE4lGfrQhLbXuIEKKIzYS
tLUoisOvB/BQA+ZRawB3fr4xzdhgQD2zZvr1GH0SxMoqMI1qC+jX5wf8sbnK1zBP6Dr/+o5WtEAI
nCz2shSpZWCz08pJF48xGJxs5tKTAFlwMTsNz5S8jqpLq5GR80Ix8IFxlGmBZVY3YAFnpZG+omME
ZG2zgNYMyXgO6KxsCPR6ujTQdvKfTtHUTJo8hnLwoZYgfoNd7mjNMxivuc2aUnVEF2yT2KgYwBqZ
TL6QfqoVBzuZYDxH48Odshk5yUkxhs1EtxoLOgKjFX8MS9CB+WaBgFyORzx7FDTBZIGNGiL9O6E6
upl9skUeIkdLdTq1TqxQxcd1Xr93RNyJAttuQSBAi1jGev52qEbwG6fQ1lEXyIa7fEszNy5LASpr
yG9GIgHNIxDTSG5p5un5wxFzTn64UUpdde0HAUtwBl3FTHEW36fqQYWS28tpIum8LUY2O7vuAXB5
n7PB5Zd15MwBt5W7kR7jVlWM4DCN2M2vljDQc64kBXQPuZzo6iBq7+spqlNrdS/Cmv/S/yhZwEEu
iQ2kjtA+t5hFss7nbl508EjR4HjCALnTSxq9c760M12LN+H15I10LYXlqHvMO21Ggc6A6OeDmkwa
DCcFDoAvbLseJMyauhIY8vXkZFknN6KItG/eFJbIu29y8z5KPSwxNxYAIh2Z0hLR6x2dqh20ykQ4
O1nMiWtumNvAHhJliuXWm2ftXxn2VK2h7lSULWoSBTCP177nqaJbpRzZW1SZ49zJbhoLiny/IlfX
b5hG8ox/rc1axhYl68FG0kbvEA3u11PZ98Z4WXCy5R4Bv/FuWjeEevxU9xaQJSqa+Zw0H0EhxW59
3fRNNIXUiDJ3xCmhawg3Wxo5+QzhVQxNFK0G8vZJrRCOQfkcLs3gJRB9CsKs/20ZQSMgqGu5M88c
5aC9OD936ZSmyVXRpIMV4AdDXZXJk2GSx0yU49yKXQHunt/MYeqZQ6h2tkVy2WjdRUwsbTV0SER5
DqESHWVGaVMVvI96NUFTH9prwAQ2ITev24G3VCMHxV7QzNXId6GSpqMgrfOImWtmIpZqZ0ox8kmO
MMiqrmQX67hUmEqXO2WuM8KUdjzhSbiTz/jJ1CA6KEaRtWDZsmdCqbZz0A3h7bezdxmiOuEewrJf
uPF0MgYu7Vq0vKkKo/DLXj+LgF2+osHHygvdUm+yUg4t03GibdvA7Q+7mfgwh6nh3kzm3EGJJkR5
COy3SM+lWzShUJVC8VunWCaFivlbFbacRn6dQ4j6enDGpnVwfiyo9iJ9kqQ50tnHIV+wp6ei5ySb
Nh7reOuaQ9x+RAyAh88aNv/5ReuROw7yEVuNHRpIAQs7x1qHyRNmOAShFfQ6rasMeV+CjNs4TNwl
m3Ti7DfIJ4k1uvBsWpbBrHS2TtBFUM7IRBOT9WnAzpNrF0BHYOHPgdbPtY3qI0L2UQGQBySVNftf
UUkpu49mNZX3kW1HOXOoAyZ04ddCQYxv1CC+YTDUGsg2VIZ7irlTBxalyNqvlF3ptRdB3ZTf3bxc
ug8VZd3uacQQY7xZIgPa2WiU4MMgLo+ixrYN+hyquq7jQsMeRy9U112L/VKzgvtcWVeIjNDHj0MJ
g6LlHXUE+SlsF4y5a9W5aJxPhdIp/dKNM/IbYBzsaAWgdpZfIjg67ke/RHIpganhFpOBPJ49x7gA
oGZkxczTOJFHmbKTletgweNl2URZuZgw1eyFqhgVtxjPXFmcUJeyxE5FQUI7gwRtuU9yinBsfL4M
LnrKb5AHXWlb69kiws0rP5EQFAGFBTli4YHdrROvTA6B7chN25jjchlHaBrurdHCui4WkwX2RYJx
yhCfcjzjVtA3ch+Gvu3yZm9iMyXabYRJxnQ/ycmRJ+h2tfHBNdx+wSKYWb3yOt/vHpYAMDii5dIP
OrEPJw9NpJWp4J9sMHkqiz0UJhj7S+Ni+72KMJaz03XQLX0bPltVHtbfU+yz1LQpfDm39Es8Z8AF
OhBNACCl96S5l3HdeiHkStMr/X2MYqh/jXaUURR75QvS2vRHGtbg2yzMPIsBW3HLk/Pib8G8OYYW
7uJhcjxDXrJvcy5j3/qAiEsDgmSELcO2JCqnEt7DOHtCuBsRj12MOJCJzVRxmFXgkY3F5siC6aZZ
55rwz6n37qHGK72tRAQSFncb6vSxYwNnOaSuryNc5Zk6w0SwMrbiXQ77KkEv3enFGF4uqCaTknpp
q9h66Dnk7DJg0BJ72QOx4zsBAjU6+4Mhr08OQQ5+mlIMvmD0pIa2yvzPXt1DJtlbAqp8BI1JUmsQ
Q+sRJr2+J7MPC4qb9h7DI7Jg7Ex1Fh3NoyCW5SFewCM9hjHG58OB8GZulVX7i3OIXLskJarpaxJT
qqEyeVDyEhSD8G2oOh0Qq9Jmjx7pgZKaIBIoGSBRB3rnBIY3caddkgZcewgWqMwfleuBG103SA7y
ZSY8KNZS7zUd999HuY6ThRuUfASiaMQd1bHore4p6iKdr0axItrgydH5z0Bt6gbhjDyor5ImV2yL
UgidS9Ui0CkLuu16jJAp9qX1E03fGdrzWFoKzyT2Q+oGtEviibGNTERWqhMxfNYp0ku5x8e2jF3q
1w4Gz4BxLBpTVyz8aNR3bzlYMxlrMBd51EBVrDh0lAiykriG7CvcwdAjG18c/jUSS8sSWg3CWchI
UU7lGxuaBZULm7WeQ0SXjFJPxQx4OWeWaoq9zyhAUnt6fY1smJb1yPFvkPdhGyOagztwbfGOBuBN
Fr2jpFBjervAmYijL6oASVgcUuT1q/EIb8ZX9wscGp7KWrDpmbbQBFWWHoVZ66TClHQqsV21Z32Q
D/2WyVJRr7OmdTaCv5MbF/UPEmc71tm8akTXeQdTJL0KbxeZQju78sFQcD/z4up14DidyaOqgiQT
orCrl0iLLz0FL3i9fCBWrk7UMPUkPWxp09UrmlQZbc3WDkBjbZLX3TVVKmHTHJqRRHXtOIIs0Hc6
nW9KX8/HuMxzMmtMfzhqx0tQ8wt/rj9NVtItt2MZBmyXVsp92es0DXRqSBE/0cm8I/Tdvi6PAkYh
NzuMDS8ViLcjqytnclTyVYVjQusYDDzQGVoZzIVync3kBLgndK6eu2VtR/WpGq1EyU1S9qE1XPAF
lUNSC62ddztA8+ZaWIHwCKZQ9Ibz3tKpdYQ2mfoAYCXrnlQHvLlaAdQW6AJwtnSdK3e0JMZRsWcz
z9Dp0IdAsGmc2MDS6RfSuxHpJQdP3rOcvWW+dEab8xPwh3kCoWQ7bfGkUmtiUOLXzKdPTEWu0Tdh
x9PiM/PiOP96Ig6XOiIxmJLE5PRVJ63DbwlnFoiThmFM3xw1tMutaSiU/BHTSzmOqLRLeuMAz8MZ
7v2ldPBoMkaL8afHpA/dKHfqLAypH33ID6JOJ/IJSDp1H/exJo7LioIusLbQWEC9dsqjtxREXrM8
Muo64i5Wy5n32IKnGnt9fmA6+R6Xp7SHCQpfK4jJ/kEE3kRDD9sIpv4B8Ag9xbkIyaNelx7mFjq1
Ko0KxRSUAGEftdDaVa8nRj3q+hFQy1lPycAMx/rGdCcsGxmQRZ+4PfwJGMjRCvQS57SciJNPu1br
m2IGsY/TehruUJdY+iN4Sas8hDTT+46NzXDJD0BaKkIniNuGr4lcGOUR6g61zkTt2iaKgw9+OTUi
UAXU8tiCtSVIkfAP/rqncmWX2yhR+hT4erAo40XfdLNM2vWIVTbTr5IhfM8LV4U5E51DEh399ZjW
Na80swZ96wMavLgbYKCId8HWmGoXrStBcYQPLjMzCvS+DliS12ika8AYGRRW38j6hc5A6tTFk9NM
+oQ+v0aOaOp1oltZhZ6V71eN/qFmBGQHyh0NnQAd77MCazg1wO6jcnyeYqnPmQokeOpt8Cluy2jV
Dx3P+5dLnlfVKFMhl+uhmQv+OyRxelvunEVdh6akee/5o+7evE6NMjR0Zff9p/vzUhqrZEMopGGk
kTxvL2UjkrooqhPP4Bl1fGp810FvcyJYE7vev9ZLNfBt+U2T7RyQ35A0/+xK9aYFiRh4yPPkVGiv
Xg5pZTMTPemmLMMUziZ7IW72BI0BEUKgH4Mq27Bcgxfm3E0VQnc2Io68Ova8RuZfvY+6S/QRoQ6g
G2dXYA1Gfnv/9v8YKoeyMImtBYDLAl6l//53SFAXo2Q8Bt6TzKyJ+2CD0sdCNleOUO9f6o85h/uk
E9EKohMEdfa83k0aldmYP4qnKEV3fT7EM9q1j9YS6CXix8n41yl33kIB42QFvg3jk6qp/Qecq2t7
7Cep3z/h36pjlERAc7nFsVlvEDbigfMmjsj3SSZmfv9R2oHZ3RDtKu8vjLbzYaZr6iExr7uqLDdU
Ed4O81jLSY1R4nylJsHRERksqlS4Burj/H82yjZ0YZ7WgeEa0EE6L14XJIahgwvaVxywguIkRamP
5lnOSe2gkABkr33/gmci+oGNgj1lZ5q8Hh0+ykdvH03m4UIwmbuvHU6BzKDOiXWYIyjinIkRVFui
R5dmSH9Fa3xkkPv7Wx/lj8H1mcSwsyDnoYGE//zbO+CUqM2DgvorcsxzUm/pZS3FlqpHGuX717RF
dalOjTHE0PH7V1HcgP7L8aLyJSiP4/g6OBUgNMaI0v/MKm7genNaWEpg6A55xIiK7CZ0JNCLVWYV
kmgdjJ7eLBVq3Djfp7HJwke0kh466i7BQPHIAoEyZqRvlOi2Icm8LY8ZreVw2TSFoXOrHhgNwcLQ
SreUkSH38M7AUZDbBL2jt3iBmDm3FbwW6HtSe6ImFEidNOWhfMn4bEsny3Fe5UQSEwg74x8mOUoE
KCtPgN8v07qgLPv++z9f1sQ9YFG+B9gdEsYfU3vgZJEa6Ft+adLWIWdNBE5mzSZapM4AfpWs37+k
Xi2/h1wdaqOXHg0MdeQTzlrdNMpm2fbh+CVKgLM62yGL/OIEv98ujGuzN7kDzQ8ZOERNwMd5EXDx
9N28fxvnTw4dEAYl4mvgOFlzL+3v32Jn7beYx9oy/VI0lD8vsqqT1YNdjHZ3ZffyL4Lz55McUKqH
2FTo+kgOwDk+m+Q+bsyYy/b9V9Uil/jo5YGeFrC+dGb1/nPZZ0uab8ccAssGuNrsC455lh0k42SW
Za3shxrxRBw6KV/KZAe1OuOkm+Uju8OKhnfFj4CCDfNy0oqUHNY8xFAEZV1KMBx5dP9ejE5JHmot
rk7Us4QTShoQBL5BKUx1WWsydBkglEiLpkcV+rpMDBqLTyuIyDycUXjsRUkCn4+wopCK51RlgWRr
j4ZBHC13cJUS91VU49v038mP5h/AC2fjzRhEHOFM1qmLic4fHVMPsmZU+aj9DVWud+a4oVUB5mps
ODm/P97O2XzW75Tg5QO48NkW/6DFjo2gpmq58X3oNi/XGhBVui6w3dZbE6GeEPTaey8B6TAKNaIu
TO5fv3Vq0BUCYzQZXM8NdD2Ts6Ag0tkVOu7j0cCJz1iuepaqTwdLVMW4RwmbA9O2wEqMQyMqxRxL
fjX+6BbpJpKBPjRrZwnNhb9TTaVfOIpWXMV46Y4Hr6UJ2BO6xmt4qX6TuUXWgqYPlEPeu+wyXVj+
1UJjRTJ3c3oe7HtxTJUDNqRVjZRA3h/S8O3rC4IAhwDA4gCWPPZCzzybwi1PAApWxN9K5QSf8w46
4s6mPXrwi1C41PhTuYOBGeHSm5XxRrhxfajsonxUaKGrVR0ONU3TBCknIIn9yk9l+xBzfu2hZPUq
Xaehsg9ZlN9VtNq+aX4VLNUOWeA1vRz/Rnlxc5kis3hiR0oXLfyNW5fR586nhT6yukCcKMdWGpil
i9yQVzwaiyE5HJRAE9d91N267ErIuyNDfArmTm2kmNstPfHyEftAF/FPmy5BLiTlvKYYaeFJq/wK
asK7hI+sNWGX1rQgo3TBvc3+/CTSxvJWceenlDCSvt/beV3fj4EzPGaOg6NfaBpuvTGo230pBpi3
pSG6j77b96RF8XDIpyHf0SaYBeBUmstr0IjwoQa3Ukj1YHc7RnDzwjTPPw1IQVA1Rx5vI8euuV9y
7PdIPw04YcD316Zv3rkSV2Ib1Z+vEO/ch3TwhnU6+dVlEfTZ1s3m7G9E7jd7BhOCtjLBzCNV0Iot
53CahvJPAIS9/s77Qjjahqm79ctG5rw203/4y/T7h4sFAOX0Nk8Od56RxItLatdF9XeESCowQpN5
D7bT7ldVVZyU6wyc/5KmuqNFCG7y/Wv/MfNfHhOsDi0bgvg5Dmzw+qgBJV99xz2TgyuEfki5lWMB
fHv/Qi/f9O9t+GVIXdsGeID1ltZHOFtjk10VtgIr890aG9aMY7NdrFDUsjJA7mXwAT/cWJP6DYDs
pRcJ5CQEmmhIPmGGjUx5jvqw9G86v4suaqMNHthvYY9SV5SPVUXyYsu6QiVcWu4dOhj1z2rAAKWm
PHun7Nn+FOWcUzHctkyxTorkxoHYnq6MoPKp3hT04izY4Aezi+bveYOEXt4O3c5KPPPJhCi2Xnh/
f8mFzkB4DIlOA0iDGBcENOzzlMAygn5yAdV/dzEvREkyc9K90+TlYVqmp9qKyi+OEU2bwU5oerTI
hxzA+MJ6eP/NeHrk37yZQIM1NR4Ebizb+FmCZBVxRfsgDb4nA40DymldsZpCeDybni6J3Ci3Qsqt
ktOwygxR0e1pqkND3eqkhK8kxqmJcbNYCVaPy0zhrAM+XGXU09ddYZyyuQ6uZmfe107l3FMDLW8a
g5e28mmMzetFTrRd8gZVsUBEwQfSRtXsRjf7Oft5du0EqAPDQ/YOWYKrd+XJUiKS3Q/Pc5kOD+hU
FHdGDXlh5U/WuHPQMBtWDqzHe2wZU/QMWqT+VTpZ0UrJhBZAkLc5jRD2xI+48WJAn87uJ4uqdryi
6eBNf5n2b2FJvGLG1qW6gGoRp9ngXJBloCTMew9i1Ntd79rAMeYRm/gZpHZbm9cWPo9/O9JZb4Gv
L5ckN+CIAwsLCN65lR6i7WVXsXX+gMntXlA2g4wUI6N3SaEy39GIkER6rGe+C8RvHrNkkldZFpl3
hoqc3ftT60Xu4u3UItUkfNohMjG+dQ4G7Ea00cKkrn8kEw0Gzu1N/LXpFpzC22rGmsW0CyocVYNg
AMrUKabWqe8dUuCwG+okUYQNhYGmXdfAAMgQo9OlX0rotdGnp8LP+kPrONO1P6Qwkb0gcdF5jOwR
G0sLMYpEmBV+l1aIBTjS22KPHbXY5YU0TvCeFB8YA+PqRcNihhRfb3LExXfJyO69biwoJBVtXjJK
B92lVdmW+AurMaeHS9Pz0VMcTclF+o/SnupjWpVOh5A6cBlmIu2itU/V79aJspqWK4i6iY4mfSXp
l2WyRgRanEYR9TBWM+GDqw3tBjdwyP7d3kRR+pPsmuwznBv5080Q14GxmoPhf//t/Bl/AtR5Ac0B
XfN5P+ch2bHphBbTWPzAq9CEMj1G+TMoj5muIa+MM1XwfemHGLqN8Yzi7IiMq6/E36ht/zRhEQoj
bXZArkIqPCt3gJTqq34Jyh8xDLBh8/JC/GVIy6us9CUiKiq6b7t62KFxEG9FFE9f0rBTgnkCW/0v
Y/IPCxZBYWrLhA6wlueI3aUaRtVgGvAjCUz/Y+tb/QccotDfpLB7yb44XA9lKy8E0lTHcnKsk6wD
NjLkiqfbDOcnAMn1qK4yY3B+gpxvvVWIccPHv9zl2zOAXuMQ8xyoeTaYaQ6VZ0OGi9ZcRa07/KDq
3SYPZBb4UVNJnFcDBhzXtq8Kekr94oebsPOan+liBggWxLYY907Q9I9eVCZXZjAWD3aHTuV6YBfY
dTkCq+aSIH/qtrR7X+fb//Ms7mcBafbpe5Xh/4UKbfZN/u7BirZaCF/z/yZaXDVD1mdP9Vuuxeu/
+hfjNvyvt+qC9r/IFkakRb21JBOOUsB2qWL/L9vCcf5Lh17QeyELnD3h34xbmy/UK5+DD1uFRvz+
R2yLt3kkRUpLU1Pp6ej+AMms/vvfqhtQRMcBF/Tu6NVxwIEyN6wPZtoupxCXpl3TUnVaeSIwn3sj
iO+DNOqOc1XHFwa6Qhd9Zyt0sgPrqjH9Gur+ota2skrkQGmi34ei6jdBKrxs25gyAiGYTzdAq4Yf
eWdbVxPqpY+u3cqtqEIweqBJT43pptOmtgO16QCkra0EyvxeVsZyaFr0v4d6mP5ScnkbOPQIuK5v
u94LQ9f+41iez4SkRglxnDoUjPwYamsyD3jbSamfi/v+bYr8Q8nhbT3p9Xp0ZBxyNx/Q4nkIsDXu
mIxFHEejg3iYlM8cpNU6ixmD96/0tsDzcqUA0gAiY1i5klToJ//t3S4DLmF96pfHESEODcKdV9Hs
GXsUWbKPCrW5/Zzm8Yf3L/oPj6dP5exMTCYEpPTf/3bR3LT7sar78jj46UwlRTP0epP21AYZlG5+
DU3/Z/3mn66muUJ0m6ivACJ/ezXopyNclxz5WnME7VV31bKb/M4ab4Yy+tsW8zbffhlPQOBchAL/
P+x3dBbLtCrM7NimU+nQxY17dIvaqiFWWyCO53S6GbrBuhrxZzgsyKeIbdb7/X/8zBQ6aK3hgQn1
BuWyt89cwrmcOSPlx3bQusEQaPqNn8TxfeQLaIrvv84/5xCbFYKEkBdo6QEPfHuxro1KR3Z+fhTW
stzR+e430mAFi1QU6XHuMy/fBDUg/r9c988XC9idsi7NBghGyMi9vS42M2OW+CI/1mOrkEPmbY6o
84J5zob8P7uW5ujjG89uTFDlWH0uGYq330hWGWXHzGqBAE6YSq6E2c2XyTw6D++P51m8fbmWR2eU
w0Vgut554yYHwWJ0BnNomZfRerENuihpE1ib96/ztikGSYBn0vQaxMpfpqv9dvwGH9oJAPjsGJue
ytG9yXkod67tVawc72OaoTAFFFbCpQX8mMe4eCbpX4qrZ3NH3wMHUwId1AWdk53NHTXT04bnzD2o
PtkIS7U2DoBGcgIoUF00Sehtet+Z/xLPX4bw32eXl0fn2MaDc4piD30pGv4WgVTiq2aJg+yYInT5
CdG86gIdzPka1kAKAk3UGLMZDWJMWNklwToe4TcfR7+evlt+2XbfhIqqiyKu40MCoP0CZ1f+s+TG
3ftv6J/u06MxH1E7QnWSctjbV1QgJz4ugWEc4C75z0AU3W5NOTXiFSE/4B9qIxcBkm9GEGyNZixO
JvUQjJYo5R4HcBCXkYzi45SFznVk+D3oCEW1fdOkUaD279/rn7MWHIFusQN7oqx3fqtmVAOZLsfs
WEXmDAU4ob8F87iX2/evc7bqmTF0Fnll4AaQbCOZfzskmUHfk+59dmzGZrlDP5ASZ11Q7QQO5f0t
Fz8L5y8Xo0QIdsDztHnz2fhT8PV6zO4I501XbJIwVhuzFMO6ZKkAMBXJWoANubQwD/9iVDUWEo0n
/zKwFqcTnuntdIU4Sx83ooLtcDtnz1zS8bNZGfEBvYZuPgalTTBFlcoRx2QQy50BHuHZS2OQbhmk
i9Us0jzh/wuaMKBwvcsebdaLaBjmW6kie4B2nosOlyvJ8cAuquVUpn18kYIT+wDGKP6ppqFEEqJE
s6+kZYnVRed/DNqpuMBk17tU6AjD3K5G+4OHP8dHPxXmQYIIQr7C5Zhnisy4N1AoupuT2EH6q07V
TdWZ8qlEYvQZnYX41BtYCq+iqY5/YqvqiQtY99WyqrFrPCyIA/W7PEgh+AOB1jkClUxzhcUpvpBR
bH2rh8p5GMGttSsoEWjt9igI/SyVdFG1BFxLoyHM01PisLKBWmAu2qnseUgJ3k2feD8Bv4UIklSk
jYD4zTBZj1hlDTsz9d39SGul34BzwqE6GGz0zdrgC5jDLvzQWDnzjdWfFLuiibg8/VjjLrR7YqcJ
y/TL4iLZNUFWOAX63wLF5DbwaHS36Oj3tEPQNriPGmc+sc+Ujy1EhZuX4Y39UW5tBOruhNPSnG04
NsM+tBLUBWyzoiiS4LuybZc0F9vgJVqhQnXZyYUIhbKm8bVuCmYkAGPLRIcU9xckOxm7GWPbft2Z
ZnrvIgb9aegA2uEnYta3TmEH1EZcvmdMtfWNFMmmb4PsuTMjagJx183JPlqwGl0hXON9zBPHeQgB
biNbbTO2lWNnz2VS2Tura9ynXINRgZ/2JapT0N/uPORc5VoWHbZpqp1ucKxV6YZuY/aV8z+hCVz5
ozWbbrl19Dysxia+CId8xPw8xZdus0wWCYxVNQukaeBvK4qVyykBKh5T+cIGdSV7tdxVngFobsFk
aDOkvYDGxQNQZc/HJV73TDAkylLxhA+yeQB+zuz1Cne67eJ0ag5DyonB9xrj3gepw3tM3PmU0PS6
KEIgYYuBVgtIdWqbJeYNeWAdkhFzBIhT3no2mu4OkbnsaIZdfYmUi7vOoElufLs3T9AslosBvYsD
wrLxfSIDwLBD8dT6daFlHYs1PbfgplrQYkT/bk2pctL2yM6XMGTZ4We0N5tZ0vlEaMQEs77Gesle
4yja7aKpqdZuB2mVwplrP0aZuoEMMF+A892ltOB345A2F1RmKD8bSLCgdh7Rf+KxyiLs1kDVys2s
5LCyezemRud+QTvFOSVVdtNNMlwp5UwbNYeoOlK53Xlt9uDHPlK2vbAvS9TFzKHwAC/V476IKnNd
LPgfU40ApS5cDBaj9AMass+RsJ9oEkLnMioHYpWL6tui7KNhhp9bv4+pvDmiREUzZFcbhP1VS+wu
ILpWys6uUz8bN4Xr3ysVXzZ1kHyWwl5Ags/TRQqvaS2AcW4aRG+ufdpXJwkK/s7KsC4ylFdslsW/
ot2DzgneTXkAT0IHkaT/0ZqF0IJLOSabsYpb7b+YX1iNi8JobCTB1eCV3FBTuo4JpMNeHrzFdXbT
WMbDVio7upSW1d6QKLnpZkR3BN8cs3zoxJw8DLY5fpwbj/yh6QXKP3i4zKcCndstZbAAZQ8ZfofQ
1R2n0p+OKSrWXJQs+tQl5ofQG8cPwTjPW2cZhq3ef5APaAS9xky01W0vg2UdsNLKI9QBUgG7QHC4
m8lFCmQ+6qL2ezhIQUYoqjFscWN2hAAm4kHkHH0G5t+mIs3bRYvp7imJ4YnRCbu66U35CHuh3Vhj
pq7ddglzhNqaEPQKMEyg77ldXRoCf5s6L7xbTTfa+eBaPsk8GS/xXdrILB4vQAXAVbHDMfrq5FOP
Y0pt9wALiZPHOurSC6clb1/ZY9gfFrC7YgVxU3JEKI27cu6CbTV3n+sm9Hao5qkvaJ+EP6U7IdLo
15Z9b1de8Gkal2jZmx4q9aimTPTkB/IxWuEHgXr/9WS06C6XPczAphFr+qnBgRN0dIgmC1lTYQ3d
D2GH4VZQ871oJZ3VyjVPEb1Y3Igj6wpMQE0KUwfA7Mvoroxb9CFiJ3Y4/OepS5mis+B1IgGD3GN0
wUuNPk7esGzYhLXQHVge9F7N/i6QBlUDbMqwpG/tDYpaW0iNNR7YceLtqVGXOx9qzHYMM/ehmPvm
FtIJPOvYyo+4+9gnRjCDRaDA5cbWXnkeExtENAVXBJmqyL5N2tI7eFgYXkUJkk2dWHDY8VprUyEK
sy8RyNiVSx8+DZJHItC0a9WPGYqsEovcVREjUfHC4F7VozYSAzP8WJuTc43aWXODLhNpP8gniJc9
HqzbuTAaFxCZKvfY2QZfPNy57nm0BOspL2w2cYxPzAxk/4fkOH4lnXG4k66B5bojItWj+lizp7vR
iHNto7xrTuxij7ViwAHAai5KBG5ZXWjejnlVwvz15A323dPBQdgH9DL6r9W0dMcRLiREuTi8bJAO
POVDHe7dRFXPRd0G/rYQUfvJTbx2B7ey+Bl5VRZrvcjmaOCEtBV5iXZYL75WfPW2axs8qCNvsct1
D975yRRuPhIEULyFtUcuC9Ua8ci09jbIYiGcGc+4Sjb5ljeebYvK/jYa9DSzQVDGx5ABMHqSzKcg
GprnwKrVxQIneIOX63Tbpg40FG9GsDYs5K2FmMVz3hXE7LZk1yAIdC8WX26Avv6DNAcK0N98fBTc
lenWU/ozNeASygx+Dgtb4ngKAu1n66f1afKEfZ2N3vBgJLF6drss/JIMEbAZxKGMcjOZS+ix7c0V
BnIIgVX1Af3a+QLP8gjVZ199mqWVXZtF1W6MUJUILbd5swJxbK3JopJrwMjBBh4lVQ18XY8e0kQO
dyUnOpe5eQIKXW7KYmTPaOx5rtZYA/k+2SXERQSh2ulgxaO8sLpKDBvp4svGtrUkH0MHuZb15NnD
Eal7thGL6hDzsoyIPv1i3GdAI3aQnHhvbAp7B1DXhViy4RuUooUTRlpuaqNiFPAi/RqD9C51Rck8
aZZMDVm3mw5YHcSPs2c7T4YtjJ/oe45XMaTDe69e8rXV8LUTEJAHCzboyh687muMRAnppBnhlJc9
kBjHGN9hYpYW7QffeUxgC+M4QHiNy5hJVT2aeGmuzND4EKgJ8eOgXtY0z3ZYu/mrrpbz2i3MajWR
nOBBR3Ma7xaIn5yxUZp2m3U0Zc9FaSNJZ3BOXg2pbNgqkwOKmfZu8McfaMZGe87y7rrt7GhXgIYD
HOVf2H3lIWOnrFXlDbswidDgDW16GjHT2cwn6xIV7z1GZk+L4IvTZgj3eFCht1LN5d6V2UQjBPoY
rMjklNfqpyFMBzcjtFl9pTDGorALgjKdLrL/Ye/MeuNWzq39ixhwKBbJy4/suVut0Rp8Q8jyNmey
ijP567+nvc8+JwkQBLkPkJtgW7LcIqveYa1ntQuwAwzkoT2PC+9zO+wxCZg/ip4NLD0+tw6F0EkM
jdh2QaZ31dR3F7Of80thzftCggJ2KLgimmqJIGS+nySWoVTM8uDiGYzMavRpTdQGH0HKBdHED7PV
EctGvu3O77s/+pYsa2U0696ShP5VOvjeYjDatYuS514xO1gT85hP3ePgGJ8ZIXxNjBAHu8W1rrpT
ZeiPqVrvhyI+9Y38ptr4jiOXgVGZ9Wfi5X6xcHklgOPJA3MIegaFS15+BmY27deCIaXXBz+AKnbR
2ibDJjAs91tTkntlNvaPmSCzU2kkHPKpfSwltrPANnf5oM5zCugbXsIXsVuoGCqm2qFr0BEk0zC8
ASf8msfsSDyYvdOE5k3REizJm6nAz2Pd9IuTaNVI4NQSZk3m7K11CzDgfR7n7jD06cXV30x/HF60
j2E17bJnz0nSgzcFRdTqcXg37Jb442nsweVP7WUYWuPQzkT+Gf5inlwn896x1dX7DOOHv4Ev0B4z
LRmPTsQKQ4UO0nnfTBYldNYWIlwtQm/70TXaXUqcCqu24CfKg8U4GapkoBMWOPPNvT3ak3Pu/Qr6
NCCHEfSXjScXtJ4u8k/IR3JicGHF/RG+G080+yrVhkw1RX7LqiuhmHXEWIYF9dABcZJnXHtCsFke
G02uQyNgaCq7iZazCDDFDXb84SdF/AuaAS8gfysrBpcAuZZShEZqA72AtijhsR/QSRFcieaEnQa0
2vgDpCKBnDfgL1RgLHzZOl9xh9AC63i5M4RLl5x5xhY3pTSvyN6ycdsHC23H4HEsTai5otq6dSdW
No9/5Ks93edysS6mVawITdrilBZT/IHdliF3At70ycKGuZUuq07mXaP5o2km6d716XhreYMeJGDq
qu5N1yOlQ2lIc4/Bvj1S2/OtDba2mOxp0AHrJesO8Tv91ST777Ks7E3WUv6F8Pof3HYlR26siftO
cvQYTXu0i46LtHPik5O6DAU6mnx/8JgR3DY1v/8+RGzGdmlkCxvBYWdTlOPe9ET1/vuPBH5lP5mS
tp/gxWDvue56ALqpPruqpwebW5spge9M99NK2WPQbLLrWWv5HBR8mFmbEmjHGn73e1Csypk1CiYU
rKjMjUvi2M0wy+DnGQE/YoUI8iTXvt5L1AZvTdbzD8hyviPnyPrYMXh5cLPSeocGxm+9Rk1yjPES
HlukVg/FTL2LxQYqaDGsd7Nalj6aAawegX/FL8ql7dPE6DQRSX56T6l2k8sNIJM3YxFPBfmiTEUY
XnIYDBbdCQqiTSNGVx8LCDkVz7+5GpegSdQnwz9SjIqciaK/noOW0PHQKoOekYyOe/RuydoAL5gm
cWHHbF5da3LPgEvYkK0uw6t4LU6/nzsjq9cdWT8G5T+gwbIt18cUnR1t0mzcfr5Uxb+QxfDPNWiz
Hsvh9pmUA1s2i//L72q+QnLnY2NIGQlLrXc2PMF9cxvFdUO9oiKMsXKXE3rBJgOuIHgCemHyvYPx
9g3LXD5jgjCwohBsrsqGeb5HuPSMYO69MvmSohbt0atv/7Xp+bQseWNYYsJY0LSZPDtrS5ipngzz
PbVckW+KHh9t1vHcpwblteUxZ938HjxZhh3/Wi3BUCnnaXJWvmk+G80no8SavM7aHr+hwrAugTXF
pzGNm884Rbe3xCmvjpHyCqOiYzc59fEpVlbzWbCzPwZ6NlCUAgNHj9aWsfVEc8C/sLYl4684SQoq
YIz8+6DO7At9S/vWB7ePtzLL4gQRdr0bu8Z+mgp0gb9fWLsr0p8VUudPqC381TMW0RPO9PjYM3Kt
wsE3us8Vn1gCk+Kx13xd0GbFmcP3B1K8MUqtjNajV181YXFRwDJv341tfMIHUu8xcvKyz7yByHkC
JhY1Ptt27LcJdNE7hxH4narG+KOd3MWNVrla5zKxrXtiKuKTWzr85LfoI4IROA73qB8ZfrAW9Tfu
7SmYFKM5V4ElDQGNEQbh9/SEUzDwlJCp/iMxc/XJKtIgbjlVvNNN65LaTHe6G+AcfASCTyqRifGy
0hD88iCmVjeCJ89ge2Oae66KT1mCyo86ACCzAVllg0WDts+X6YgGhT45osGY3/Evzd/n0WcL1VGQ
Q8TjktmmlBXcjCqHltmN9TWd+uElMyf/pxpF/Ctr5uA0umm5oOvhZhIZKb6L6y1JGNQ8AWOg448c
2Ae5m63TxhuvYcC9IX2++R+PyX+FDv9W6CCYxP9rncP/azOUQ/+kcrh9yV9ESTNAysC+icUvqkiG
hf8rcmC7jgBCsIwC6+2z5WD8/RdWnHjF21cB1sBVwn/hG/4PUtIBKUmLzj6Oqp/dtf+faBzQRfzj
iN3EjsbPRSwfJjh+vH9ehFfa67q5kNPFyriTND6ECbM7fAtXNuaZ6YtvV+hGiTwa9oVdlZX51iO5
tZDNI2FgKiH6tQ1vHkR7WyK2YbIAi7XWyn/OAG90pNIOeY1DNFLTLOqdcCbSQGjNFuItpgkfKMJ0
uxqP7YBDZezCtadVVXd1ueT1ZhwztOeklNcXN87nE8q5kUI342xYSEF5gZ3FAN2QJDg3435qRi+J
zDnYBG6uLvnN6F8h27ZCl9DkF0Zq0Fkzwj2gaVS3oCnkDcF2wlUxQY1doYBL5lJPa0HWkqlsulqE
3uNdZqZYle30JsNsx4GsoYDQ73Jfz0wDgDaUnDZBQyFbJdq7BnidwUktJoRlwyDeRaql50wrxgE/
AU6RtBLFQTFy2eVr6+FdhlvCME7cwnQ46sZ7243rj35arKeJBnfcI9HuN2nXodhL1GKDak7YIHQF
oVNMw8b3vhXLa7w2eMnbRKv5SFnBCRW3DKHJijEH+x1Xu75MrlXuO1u2W2EV45YMEW3BL2gvE3A8
xXDam7YmvgTyxYvJPSL38F6DfJkvCFBJXsBBp/td2lHYMLm0xMbAw2g+allsbZi61d7pyxhxozvj
Bct7L8w6JDMA06vRAwIgCKk1B4HkX47VQdOgbECMDv7OnqZpO/V5ExEuNcIcs+n/wzZRigaPzRrH
bmaSI25B5XV5G3c3WvfWZOHyWdGz2Lugrdz90MzqmeYyPQP/KN/hl0nqFowZEXm6/aEc01tOe8vM
mTEb8mNUdy24Jh0prHM8NNZsjVvEtJyvYzJvUwA097OrFZjsFoaIFsmJBczshY1TFaBZnNtMIR2g
a+dGc+zj3D72lUfajOvF33kbWiwUFK0/APQRTrJ0/Vjsk17bLwShDceprbydXaId5yCPu2dfjF+o
NIzb2HndxOBiyEguF5Z9nnKqaEmgeUWJ5DarJN6HInX9jxulfg8WTTJpRDRobdzRJuAM4LKz6WL9
4kILumqsKz/Kvoo3g06WVxYj1SFeIT1HhkEOe6gMhrMjoYL3C2vfq3ZzRkB9k+dZCO0rjtyuuLEO
4uabTHQPAiegpg4yZp+6rGZMS3H5VAhlRyCM1H4kkKxvfJ5DLxbwoOn9HyGSDNHCairYNbWwcUi4
0EvOSvl5OLi9um+rONh10iz/qK1iOQLQbyKSMXLqviVgSN1/5YClNs5CiDUbHXheJSLaRtifrCDf
3LLlhmVFNMM9sD22lRohcEKmttKpGuTDRM5Rwl9buHJY2j/lEf+9Ff/NrQgB9ibJ+9fX4l1241e3
2d9rBv/ni/5S/3Ev3oS6jHXc3/fbX6HD7t+A5t6MYB6X3l9xw+bfELyQzGN7yGpN5/aX/3UfyttV
af9WxGA+/w/jhl3nn5QZ3KuejWzY/X33Ikf9p51za0lcEjpJT6trEi6PtPnmB+B0theOLjF+mEQx
XQ3XbZ7YMtZXxutEc/qVaUXA6POt5WXmc94X67Jt7bm4Z5tHTLY0aupir93PQeacemCNYYWKUG9c
f/ZBLcQBntm4mDyQi256HvEPXswEMlHYABkFu1k84IHz95UZpPuYgJm9KErR09cb8aZjF/3b5nss
uODvho4564q8jci/AXJoWE2+ffbmZvrO5GxhqefFYCPSYdznpBIexroh9lwLci2Q+8zHgdFWsTaf
XlH6d2vB9B/Mht9v+QPJdhrlzAk8y/sJ4k2ytWRQmnCfGvNoLbE4FK1tfE1Nq3/hcgjuwcr4x4ZN
DGp5mPBcfsp6wMY57MHEt0+iEyxO2CDRs5DdWEUMRf/IzcaMcveWtwipjpEHlLQrW9vk3KnV+Kpl
cjO9qMa+GmRhHpdMv4/BrJ/yyZb7Al/at1T1/TMX8VxB5VjbH+D/kvcWyFMQDS6CYikT9l9gSVba
l/pYmgWh50RktMfUDQovsm1IQRoB/RDZYnqTNE98yHX5g3lZfwhWCNuWyLKv1RwQdOOYN9bEPRVt
r06QQ9azisuRusbrdt4MrGPTymyBU7cMdsvvMynegyzQYPVbPfDdKqPb2Z1TnhfLY6EFWop/6Mzh
3FnxQF3mGofcNdP9rOPyhTM0fSv6jBXqhCPbDpe5aRhju7m1MWKXyIyUoUQXZjx7R40O+m4QwdpB
vDEdVuLWGO/Sm3QEcBvzvKmjHy1Xx2IwF8zTryy3hxZtB+EU3D/dSsZJWj9kEg+J0It3SdqGXQ9R
SiHtXXWneiO/2AbJdMxkJ2EQSr94S+g2KnmNvZW5azAk4ofGicAaVrly75UtfwoTw2FV7O83oydQ
Jvg1sJPKDR6TeEmjiaGUSln9pMu4ka17ZRI+ftWeUxzNFtT/lON6xQ46LHtRp/N5XXuJagKC5reg
yeN3o6JjO8UajMM2qD3rp55QKABDnIanETZavB2XwvrogzKuowT8H7FitWaiatpRoCbrs6CXGqNx
6ZenjoQV/yCcYmLF5AfNIbMXCtLKmUXIeCNlLhFbzqsD/OaszVT8GKQ2IToJHtoINFl5UEntf889
07vDibOYR9A4wcs6FlCIltyLK+ZVeEA2wI+anZ/W1Se2peBbm4kfhjmpjVStc2cNcvnDVe2ieSas
pgYrF9fvhIF0Fimmt1qrxuH00XusxcPFy9XRj5t+UxnjULHgdoNLas9AJ/v20eqYpYc6431uTVdH
SHwFGWBqRWrvyXAdh24zC7IZRRoM23Xq9aloLO/E9NeLVifNfT4Hke+bYeBEA2boRSyBzD2wy+zJ
Hg1332RmMW+MoI/FVnit+WEXKXGhgsN0tE0kClBysnyPArQ8Joujr8SaAdJCGtI/scoQfLBelb+R
hEIYl7ZYpXGYxcMxTuaa/D9jUt9HkHLtQRhsUrUZJBRA5tLdCzibX43r0eJ3Vj4+LJrZbF6saRA2
Rh60YcAMYGf4qf4up2X6gwDR6WMRtXXndAjZMHB2PvN9F1QfGSiOvk+XIC42vq0o69IpPqa2MSFC
MNVzUnRq4xfBdMa7l0VVWeiNrL2ToNbfjHVdPgaYVDdYaeNjXnBsNpbQ+9msXpLaHfZdOxE1h/R8
pG/PWg+dA6mlNA5yq815JSN3nCvoaVJvGmeomLOnox2WZLBAeLTKcTgLkkpqvOPtpLI3dINlfVg8
wRzw3V8KWdhh2jpW378jferye9jVRggRUd5b+RTv0J60T7IqzSfSrpIHjsV57/nFeiTY7tUVdf2k
aRifBquLyVcEjfg6tbJ+d4zWp1Hx6umULknx6sN05pCaeK38TJEQOczVA/JnvesSljN9VogruYVd
1IwrCTBum3Bsc9tFc7Vk18EOhp32PZ1vnK6qrnlg8uPKwmD+XZLG2WG/5VUPbBFabScv2uLHX+fe
vmPcEbMgWPv4WYBjpx0sppdkMHxN3l+c/uGsxnJfG8lAMWro5rKYS3wNGqWegWB6jN1L8wvm4wpm
rnX3c6+H3Rzr9Tu7/rmJYKuthwSA2y4Xix3OVo/2qEf8AM+L82jIrPVs96t3RDdEyzLlD7oc2tDV
tnMfg34SHLJF/IT+5tjI3CaNsEkakk2Fx7s2sOdevWx/+zxfgPsx3qMJPHBceCCbWuO+gAnpbG17
ch/LgAC9uBfZIZsNOrlWzywKXLNfTsvqLY92gfw/WILgOFpD99rGTfUwWnCVeZ/kEhLQ3bKs8gLo
X1MyomUFdr3pGUBO0eAE+nFyzIq0mNwJIj/wrC0AWvPAPlawJ0KntnrBfOy4GLNQ2dO1Dvwvs8mC
L6tz7IaOw9VweMv0uznFxbFrDIUZMjX8MBs5anj8Ui5pQZsUQVfwdtmYFw9xQAmiPA9hS29JwjYz
/95eat48LI1oTkFcQuWaJnfdtq1tN8/1EryDzEk4sVM/VWfdwWqFzUZYZjSi6vnISNZ5Jqag0w8S
vEmH3CjQRrjCz3KjKre0eYE4m3GPBVZtInZBsKQiLn4++cZel+cWYdwMRmnZOSkKFRVILwJqJeMI
bcfjaoFIOwPU6io2Tkb67irHzT6xItXE39pAJLftxE5MAoCb9SrvLDJvxn7fwNkyhxOPrM0KhHGI
ZEaq4/WDsnd+Kwqj/srHGelSP3gvCKvVSevsRdce9jtHV0dPdyryhrGKwBg/yXL94ADENZd+5r38
QAw5/HAalpOhaF1aPnf48AIjP2ACKB+0VW4nURkXfjk2Ew5VkF/b61/O6o43XLG+RU5rx8/CbMjK
A4jt/hGkabFEwyBSdH0teooXKBQtkcg2M3gUJwxZmwl26H+7pz8TB/9N92QFLgbXf908/b+2AKT8
2f198/Tn1/xf70RenoS7EuDPuQ0I/3eoiHNKUnNLbDtsoDC3oFf+a6go/wYgFNwZimp8TSjv/q+J
wlRlIfZF68sbwjDwP5oqslj/x6kiNBj+B3XCwx/h8pPeRNN/pzOHumszFBjEETGZT81tAMet+3G/
sr46lYl2D6Rn5UvUTNPy020674IsUTOQs6zpqWkGE8+fMj6JtDUpm0QA5jF2XiRjiYR5mqw3SSe8
K4VT97TkY/YCbbTcFzAoj1Uire+Nin1Cabz8BBqb7WWnf8AXyg9k0KD9gd8yUyIgIP4yFbnoWZxI
OE1zYT9zhhSngGLqHHtOuR+cLgSvV981rg1vvIyrjZFX6ckau+lYZxXhwZUh2dYgnDtVelAoWUr0
ksov96r0g8uCAJn1uZztR/iTwRVOOOLIJTPvcI8TBz82jt5hYy33YEGTd4u+4GoZxYM1y+EutglR
NxfQMRKUb60FjaaplfMLrzVpudVC6h47Tjtqq7Z/CKD3ojfxnC2+/JlqlTnT3i1N9XNiwrlzWsp/
nbWMLYem+KZFLpEQl1RyqprzQ9D1/WYSU7UxvcUCpWEPb42fxff9kE6PWCHWL3Cky3vdDs4jervl
4Cx5e5Uo3R5p79EF2Xa20zH5uuYs9Y/qJouDHc+ROrJF9ayCf0Yy00YUdUnHOdmhLsTwk21nmLUu
grVAnTnpj+KGE+VgMsPCbOpN58Z3VaGqo+Ebx7LwEKPrhgQ9Yg32Wo8ImgPEOl3eZ+deimkvTXT/
xG1XD2DVVmaDRs4OegHBwFoxH84KxvhrsmTBh6eRdDJJVmzP5PSsxkm/BLHI7hBymndTZ4IrH1on
e+MK7i75YJbPohFqX2GNDzhBG/PgzqVHck/pOI/r4mV3SSLIa/a8EiWO8sE/ZBg7mCFrH4ulM17k
lJkPQcuzAozhdsWsovwa5lldYynLwzIPzhklcrmvlMw+Bt/L3rVKLWisyn2swGMf5nSZr6YxOmcq
hObQDk1y34ume8mRyVBX4S2rjOGo6pgCM6hd/2prZX/UWInudCIKbDylOuR5KSrS4LsSKEHq3pdq
OtvpJHgcdXswzH6L+bz/hBhHuu0yF9bWVrH3qZ3pD1fPFVU7sowKxvixgf++A+fibxavtl8dUXzh
C0LtYCTC/vD8+qUZHfjrKJP3q1mbj00q2ejOaWycXAPsH6N037ym1C1WNBlSf3Zxmz94SaFBYjtO
8MW6MN3XI1+UrFn5zc/MilQq0hlMaGLnPOGXiBye4ftQyg0o6QoVSNf/cHyyNcO+sF6g9h6Z/8lT
M+k9BEY4rtJD5ZOVefEIzqt8cuPyIBc0WjJe66MoMK11aigYDQTOR99gfvLcKt4txBJv2LGiuqzn
/El15HCts24ip4C+sN4cfVBUi3cPvfI3D0jHI+LSJuIX6pnQ7At7g/NaPRjtvJtKqc+6HRGaBsHO
7fNqH3eTeQc+stzr8nGM4/HduEHECulYj7mZOIea4AJS3ies0LU5tl9Ov/CTEAkwmbO3b6xp3iJe
G9BHsDh67z0A+Ti11jILJ29p4MQuyf3aNcUeYToX+sIaMWrHWVL9gXQK6by3LMlx76+0dv4mCMZv
5B2LPCwLRH4lmwWOOeAZYaBa88zuQN0tOAi2lmW859Sifog4zNnSqxP3RxMcIcGTUWlkb4U/mcxY
OhOrKwoWOy+aH6VMwYjjx3l0K18eu85lVrPCKn3MemTnnldH8Fq7T5l78z5nUfZgdrIi46lyzOtt
i8oWu1qhX/ulpGZqgteAW+O6ijR9oz/NLtU6fofAJg/ciCuddjdeu0QQOw3u4NLlso565JqXahDt
Q5/H+i6Hyf1qxFl5ZbOiaNi6ZGchcdisdqq2bqedNyhD9kGiSNu2sd/s0plh1eolw93kBupTOPp2
uQyreIeckLG9t8YyJHsyAK4cJGjR0gJuezJFhhWnD5YFJmMKWIiMiZ6fzYGPvk7ddYNYQ2272fbP
vmCPBSimSe+Ju5p40FhnBMhyqNLMAUFl4gz7Opv7I3kC6ls5xPvMUvkW9Pv6UIwIrdRIUgRVr4nc
bzBqEbrJvJO6Ga/WmNinACbQ90nbxYbRGcJ3UsruMl7xM42fOoAYhWZf6Db4KKTMNlU9me9lTHou
JxMOjd7eLAx3H9YhN76U8MyT6n1jR+ZGd0/MWnl0hREjs0g69M2T/w2+ZbyzTG0+p2Nm8td5MTOQ
xZDU3l57Zbrxo+7W5ctcB45/yDYraRWzwFzkIHVHGe+g2DfOCA5tJrJ1mzFRAOR8q0tJvzHRMFB1
P952L9z9eZ68DEj3QRsPulyiGnHRo0Y0fGhSXulwVh6F8EonjlYy9vWv4FYpj7eaWcyTcclsBP9+
TUs11sWhp8R2b7U2Zy1lt3+rwAtKcfJhPk1Kc+TjHz6lem2tbFbWCQHdrY5vbxU9GQQv9q3GV6nn
vYyqsF8LuBNfBBXPb4wLP/w/+wNmhGwJT+rP3kHR69BJsI+89RWUWjVdxvq75cgIUhHbGy3uMtuu
t0EIPvgPuteLfO9k/GvIFsdn4zXxiyP80iZMYsR9zoh2PyxUPfsK6c8dw2ej+VAcoNRet+SROS52
mpSR6uQbRbvpyPzZUOQVZytZ6hOzfu8DDYb+DvklyR9iAEdnL3Wt9mVI1zTel2tRsl6dOywi6Kl7
N//pp3NnfHMBjLtkCo84HhojKxqIy5mDdtVc9sCi690ouzeyUiemzEm5Mdmchn0i3lCATgeJDjNa
qn6gga/nXVB6lJNliihTXAZoA6T8Go0bFgm3jOGRW00t8q1e03KbQg84cYMYz6mRJReCcC2GfdZy
ZROory2/zdPas+tKs+lTFMFyagNphJ0whr1Vz7f++VZuOSuyGexp7TnLED/tQEcvm7GJe1I7yAAj
SBHcvHRNYm3EY7Wics21kRxXQTrDEMfxqa3s7NSbyUVaJcJUz1IXUnr7zZJ4+vvgSPD2s7vsMz1m
O2Jogq2RmKwms7LZTrFQIFbSgosMeH1E9pR/GFhMIwy1q71rxuYvMZDEEiny22ZkTL5j/ZSMZfy3
7k8J9fCnoDrW4oZ/gqp5E1v/bk3+uwL7d00cDn52Q/+6izuWZVY32T92cX9+0V9tnPe3G6TvTx3H
LXKd7/fXFsyiV7tFvmO+DHiJfRrGv3Zh9u82DkEo3mG+n2CD9X+7MAYUuPBpAH+3hfZ/Ig6B5fmP
bRwZ6bbnBFjqWdOxKbuhNv6+jctkBhbI6tLTTGo6hYTiVXPzRZ6V9oyO0hAVgBjy4FkVmoKtJy8r
jszRd2catL7RhxboWhz5TSlP6+qJeFviP+alM80ZqbKoxJ6OZTEeCxIb0HwK6eKXITiI16mUWNvt
bryUE3E1YUlrYYNVMlfmw80gGZxJj8p/atfjaq29YN3eMGYmM7FlcprPaUTuGCpDkI9jKHxD/0DL
4H35zBY3vY/0P1lNSEjpDVDOZA58MQ3KJOxLANB004G+vMMP6bGmG5660jZ2HrDIJFwQx5OjAuDn
WUGNeJzhGV9bJGBPVQ7yfMuaDU1L7s+JG9aumWBEzdVT6apxz7cHYLg2CzY6GZxs1WZnK/X3c2az
FEmbrNm5tYt1oEsLPszJLqzN7MZ6J3rPfisDproZmYnPlj1LNIriezIu6t5tlmBTr47zMNg5krBm
EZvUsh9SuXYbt5YYpBfyvGfguQ8OvpurU09Prgnxnmz7tgzV7KVfkvt+L9gwsrmvOfGrqtxkXD1P
Y+t4fOzQi++6oRNXiO8OP9uwDhdz2mq7aa6xaqtf+SiD3ViIZde5mR8lOOqebBl8uTHx8hYL/0ga
DJfgIDGkdde3QBhWCFqqjlTpnsYJS59HAvhz3nbOkzMH85nR5fRALpV+hKbwI7eBWLuNZBeQzGfC
VJeNe8NnSDsWYSsptsdmrp7LtkBcVJTdlSVYGvV8IlEcFHii8v5qzMUQoSTvvhVk74Wis+frAqdp
o2bX3loAKzcGBPuNOcbJCwliMMZKX9tDlNdNwLfNc7oOpayzw7jytJgDhMh5uk8GUT4y40Nrvcwx
GvrMVRhjxQg9IM7jUCXrehWGA35PjQbgt7nZr/hxnkybJ9qTQ3+xCyHO5P8wfHPEzuKxv2tmZ/0Y
W4IXt0Z/cxfkqQWksyh16Dij2DDGm/ZDHic7Qw9n6QTdCQ/v3TjiYmX+WQPXw8FGdMVsHJyaNBDG
hGrEDYOyZCAIPkJd/GpgwwI4xfh+MXexdxbsUUOw0e8L8WwPqcNiEymutSD/DUrxxDi13Na++uoY
4h6rvHldnLQOSYP8Xnlglm5c5yWqMvvsCgxl9e03tfzElqPCxurVLRj4TQzBzGotiA9qGo27yQ+C
Le7HhAw08cFh2N2zbpl3Rtc2UVkk7nHRnXgV5GlFMz7GTRW3Jvgym9fKOHkxouo4sz8oJfV2YPOz
Lz1tH/OOuz279BUCZN2v4VJnV2Q2WUhib2i0otow86BxZHmyK6Z8xqSSd08gEcpH5bvJccz5mBdW
38eAIu2RRKl1X/d0cArXM5aIWd6JdjwtrTMdW4Ro1M9WNz1Oon8drMU4GIR7XSdhpTUvWMOO23yu
cwMg80ZbrZ0j4p2cCtmVe61QyTa6cbdSrgFytoX8c7suyM7M4gfKuOzeTbvPWihGaQSehGtmfSJw
dm8TdrP/3jH62eORVptWlfaZNVC1M22XR9pMSkbk2ItLEjofFo7dMGWtG5akgaF2rZfv60AZTKcZ
R+PAM5gt8/KdfA8mbFVm6mfdzs+1yZAooQq+b6pUgBsMykE9JAh4jo6a0m6vmEKqsHRHVK1r3hxV
MZJRldV9uWlUHTxhGv4FeGWKEqTMuyn1S1RBvkVVbkictkzy4ORFIquGGYfE4LKVV5lkBUSw8c63
+wo5BEY3Dnc1lfPwihK2swQxSnV/qgg3G7hbDP1VGEDNMdQwpSF+gl7mnn60GcIcy/OhGPx8vcyi
lY8zF/YzOlleERTpfnBs8XO8d1bWntKbhxotseP+6Hn6s8i6iUAiy4g9EU5SeU+6xDq/iS2zPTW2
6Z/0Ehu7Psjr5BDrHhmCk9yn5VA++wZQ07Ad2emkBXlIUbBO6YfyRbcdbVEdrCxJP/2bxDOs/DbH
7rX04pI4LUIxT6jbFnaCUDcqn/fDGUfAovPKNIGj/VcNDmAK4VZNd/3YdQ/LbGtzQ1HKRHOFsJqE
uTs4jNnmdXgzWWJ+6tbMPriTExYs1XDXOWt1H49u8MskqGPdpGXsPMF1Ht/IdF6vlekdPVgffxA1
I3+6ZJzR0qaOHtBqjeU2CUSGA248Vpy2UUf9sGyWEilACJwga0NCQ/3XYVzcSym78qeRk5h7qgYb
8KtU2fRIISpfuUeCrZrXZDcs/5+9N2luG8nCtf9Kx93DgURijLj3W5AESVEiLcmyLHuDkGQL8zzj
139P0na1rKoud++rFg6VLYkkkJk457zTbGgobUhPWotU4HhIUzc9p3g3mhxGYXDvpcVwPTm1zqqc
I+06Tmx8hg1s1j8nc5CeMHclSHBgRgdrw8uXCzzP069mV6e31Vh8yOAPGmton8FFKtJ8I9KIzQp5
v36/1LJGIn/GfNHpgv/OmIodKwUKWwoeZvBUf8GsZtjiNgJ6rKEx8wjmAlRuFLwMvwOkWSrQ2VTw
84z9f7CSCpTuHYVPOwqq9s6o9awA7OqMZSdnXNtTEDfNA2i3q4Dv5IyBaxNwuJoAXrDnwMj7M14+
K+icd+75eELon4Mzsl6cUXahAPdeQe+BAuFrBccXZ2S+ViA9xzN4vSUAkpTjwRVDrvogos6GVsDk
aFZgP5EPNlZ/EAAmRQWoFSkA3LLzraiAKSDa6gZ4sWMSC40A030YBY4iF0yKZtCeGQfwhZvP6MQU
5/PMSUAhXT6ks1EVfmd6sBYguC/fbAqoI9Fn2OAa9hOZBd5HRxEeSkV9kAzzEWueGRHzmR2BjosT
8cyZiBV9wgNC/TJYTbbHYAl2hRFaSowoZ/nkjPA+O0XE8M6cDPfMz2DAxkilNMo9nix8mS596hLx
Gs23JE/Ww3oyIvE4QBtcV4VVfUEx3t1YOMcU62Qy9M/9mSsSKtpIdWaQEFchvnpnXgl6djgmrqKb
xIp4Mp85KFLRUXpFTBnOHJWlga6SK+JKEqbXzDUY6BbOiTxirGgguAwwXUYXL2QCnj0coT391CtC
DIYXCL4YKhnvbUWYcUk239U2hcUK5ZT55J25Naai2UCDhXGTnNk34szEEW2s77BCDE9th2PAaIBE
GwlD+MW0us1SyQxxgw6xSIt8UL78W3Qm/ZAJ4nzDnrYhiVOxgqDRNh9D2KxPtlkGmJ8r/hB3Ey5R
pWhFMEpSBquKa4SXA1OmuAkTE8NZM/la6R5YY6P+qLQo42iR47EM6uhTFpDOGCs2k654TY1iODVn
spNIbfcybXJ4rgC1EeFNB/dMjSoUS8o9E6ZIM0ofWtcRRJsGI26nUWx12Gei8PSBV5fLVBPVYbRN
FGiKmmUoklag6Fp493b7vKoJnvJkcVFnhCGSRvSpOpO8hOJ7hbJ2ruGCa9+EYoL90yUXXdzNv+mS
HVspCv5zk7wuKTgev5avoc7vP/OHfsJAP0EbzJDluxXkHz2yUNIKsEUbe8bvTfK/e2QBnolhIZ63
OHP/qp+w3+FnZngumeH0tPyS/6VHftsi48SE552HUZXLy5neW6NXVXsRMb1ol1Cha4LOYaS7c//Q
DJ5ZNIdEZyPXKENdfOF3gAfs4SvpZfnohzmzXwcHSRq2KjyYXuCm8lhohtRhb2gdfPUED/msidtd
nybdFOxSN7bi+MoKx4EhJKdZgi09zBVeC9doAKwFhUBPLRVdceRbFLCrkTaGYpIiRBuYDOUHSbJI
v2Y/Ev+1qsEZ4GcVDZkrJfu9mj9wUKtAEdcMR+eGAV4fee/juIOg75k4GudorPO11ReqlOzJ8ZpX
9O9BSkRoWWM28s+u+a92DRj83+8avIqfu/i5737ZOOcf+7FxHPFOSYeUvxwyOYNS7I+N48h3hBY5
OKQ6DJEYPCEK+vdwSSehzECP8ZMI8HO4ZOrvmEXZlistcH3GS/+TuyqW4W+HSw7TV0PHCVM4jJje
WuBZxswUi8jUfVmEgjD6mJktzJy1BW1tttMnVwc6r8ql8zE29dYpld9qmub04AoE6nrn3rkDGnFC
edMjtl1XAwU2YhobyBPz0EzXGOwnyCbm3kSoALa1NWWub5jES3ZE7UH20QD1bfxM4aPfVGyFDUof
kknxqPBF7UyrUPCaDGSHdUJtvdbBLjZJ2j4oy8We9OVVDQt5Dff2ycY+ABUv354KZu0IkZqLamge
BLQlopQGuUoIVPLzwLknpeQ2keJpaHh526oesjJ+YTyL4WnpxGvHNm6YCrVk9/F57GrqfL2pH2yR
eKuO6QwaDD5eEZIOMNECbWgzLprGvQgLQveClkszeIEfdjlJJXiAEAg0wXfmUp51x3rNL82YsQHE
hx/5CFwG3b3IofNvgobvGjDQYQaHDDcKqNp7wjj3idngd5sxnLcpQtaMeW6oWhCA85MUrnC+IL4D
TiiQduYSVPhi+lYnlpuwhAnJyMzPWl4yI8yN0UDN2x+l4fc1ymdZ2ekGf+aPyLPBM5WAkkn/y1zU
JUbojbG2Ahjr0JPQtlDUPAcZg6Ou8e4wAO58JhskR+v0UATecoM71yVql4KuSbz2DpZselV7IO0M
v5ZttejLfnS5erLlRUfLuXCFdndeJDFWSeRSY2dUOawDMcsbTBnQ1+ve3QjLAj8P/sBS7maIeVNh
kpoXoNCc9wk1dBnm08HxOgMpjVpFHd+L0OAUtwI9StkavjNg3I+L1MRlYmGhdavWuWWdWM8vMIJB
ttD8rdD+PknT4d4v/F8SQLsehFZsxs5tUdVh6ZPnakIjANwNB4WzXiNqb9rm4Xy/c1p17EBZVt3I
5yXD21uRwsGtr3le9LabHXQRvrDJWdU8DfDhYHW6DkulVHsBhc/8ER9XubLd5EkK3gg7D6CuSuFr
crmQiN3NC3d+rNknjoMyecSGHssRdofntA9Oyi+0He6w27OYXHbj+WIUFZti1PjWKs2f8nI0/EB3
6gOjI8tnfkLgaYrkfIaocJu3SbU20BGuxgaNrSSLdwtx0/AbUnM3eWNySXUUwmMYtZduq00odLFM
ppuL1wx7DD912JTQEK7iMcEFpkfHjTFkTF4L5mOwefUNzEd94w6gROBdma+zT/RsiG+GiLGN2l6S
3PO9LvCxm0zkfT2CulXZwzTRyVxV1Oj0EKLdhdErU6bNahumWPKf7y2O/Crws7iyh0AdISyBoqo9
xtFcm/MqXxzcEQi99XZA0qmPM423RXeXbUaN5XxeAGqFs8VvYnMpdnLmGPMG9rcJGW9/vs1dP6oM
epYRvKXOH3CUeKxUSX22Q0T8DwTZC20feJLTy4qfAAW5BSJ9gVtBqI9k9+gauzmX2DijlEeQ3fTF
lRPr08marJ07Jk/krlOKOGNxFaRG6gO+4aq+6No+tNinJZq8q9mJ8LCwWWRFLosrDQMU+JUcX06S
Q3LjcBB0afFk7gh4RJvNjPwqEJg6m620107HML1prHZVGy32RjbBTY7S109xru/10pK+loUciqHg
cBu5dedk6qA3biKkQES4FvOu6jhMCPId1haSr3Uw8BZGyMsrtki5p2LhDyeT388mw5uY9apNO8T2
AE9Fu+N3RzhGsCQay7wx5mTe2QFMVgvuB48dBggz1FskalBH0zLTN4qtejXZ5kS3hsuSaXFpZnbA
+VrbHvZrKZPH6x4fhK1ZoI80pw5HCNfiCFTgPY5fwbUBVLwhFDPbuUH9Ujv8dY58iE2PM0bMeWJq
WYy7YPNMLpFFPAQqxbJ27nOs2vxUi661sT85Kr5Hjm54mOMpTBCYtpnYIHTTfWLY0JoXk2b3pPfB
brayfFhBETUBD1zRwpJdmuTJYEa2gTTgWaRFG3dWiDkewXJVcpzDtj/Eo84tlHrAaCMIhdn7iY40
D7Ciu45Ck9DKFcAmNC8CjpG9zmnHBG72mhbCf1SJtU0/daiC/lHryvJri47DjHUmc6Gc0he3ltqC
4lhDrETk0zTuu6Ipt16eTvjFNBqWSxV+hps8MQdtE/Io2hjCDY7EeS/aNgPIaE+pEbkOkkQTii5B
7Z32MIco/aM+HLKrIPIkYb5NJux1Pad1fLIG25j90CgC7bboKR8ix757VYr9hYm5Eoi9Ni11HZXe
5UrbdrAO8N5GH2WeZixm2fR7J55BuJfoJU55uMjCveubUrKs2HVm/NscVuVt/afXxVxMN2yX5Ev9
jWerhxciselVv8cwQh127EEZp1+LkdCDqUpf/v5TwhX986s5UE0NU3ioyN+82jKGmslcrd9nMwtE
VQLYnGh+CKlr808T8N80AS5o/at7snnsHv/1nV58eszJZth8yx7Hx+bb6w7g+8/87AAsOmcPn0YX
Yx2c+FSZ/wNedhBZknBoART/bI9/koS9dyxdugMPmii6u9dKS/cdftX4PNn4159lmP9L5yw8nA9+
WUIqvxLSsakLBXLDquTfX5GE04SaSCxevZ/tOXpA5F4ouZNEDD8tEOcmp8m7bVXP1xlU/XENcEsF
7njKt5bImyFGf4SHlHgI8P7FaKZIbYzy9PHb1NnYzqmCC0QnpersrgtXQ0DRZ19MNCwbiQx6W4Ro
2meph34zeXTcXMR4H1CTId7kgTfBkjtliQVFxO2pG6HkB6aKFm0OttBTSgIe7hoGSzBIGjA5z24u
p1ohkjkAqTZZyW7kzRkEN9nVhbMgBCq1prstvNA8QDNGElZrD3GW8/ypCxt53VTsYLSEfqUalMpt
K9QuHBL51N4wvf9qaSkfMuCTisi4Ya+nW89LwRwtqa0Sqv+dHqYvAIjxuNIxUtoUOq2TVSGYN+qu
2tYLr46M6MaWE1ZDTncEoJcrZvM3sXDvgqE/isADEJ+KD0wSxNXEQwDyX4EznDuqP/Krcs6vTLd6
IDLZWC+imw7UT18osC8Up2yliLD4yH6pLWo/pyw/4P+3fE4zyqOKgL0NwYM9s0eKOoK/1yzBu0kG
fuAg1U8DW70FEGKLX42Ljdw5i6O/l6kGyMI8+EPYetl9STN3L8CxdufKv8ZleWtDU4Nk2zE01POX
dqmuddtc9oGpHTrSvB9LE45ShbiKaWFg4OJXIZCgDLzORmsfuIu7ci3wgJnI+Qczde/sNi535dTE
O9HO8HaC1PERw4i9h02Yj9vDx2yptBp66viRkTGjmxwCOyVKm98YXtA/azrJPmswC3nTGZk85XEN
djsaEW6QRMQufhYVH6QmJp9wzwY/oFLCMOgQwaPq20iEKOuAnbNK4iEGn9GYE+dT7e1I/YCiFlZC
UCDMJTmTFm7Y7mCXJ0NM/SUBoV2/HRvN+ujgSnhp5rb+xeSDb9oZPyYABYOhMtey3Aq3CcAu0CNe
jjM+9BclHEtcMpJuxmPJWgjCACYMXmbPGY/4l5FFFhLnTgUIAwF/J+xnUdd8+Oeg/28OegAWJZD4
z0PS26j8+u1fF232WHx9fdr/+MGfx714JxinCCauP9g//z7uhQrGMXX04m909QxXDXxfXKwjoP9w
7v/BJTL5daalozvhGWD9Lyf999Ljl9IENFMyxeU9cNDDGPn1pK9xDWSwj3qWdEDmK3NUYopmdLEf
ul7uE0r6MObDcETxF0PXZCISWtqFPjono+yxeYZXB2jXmvmNN+TFddbr91ZAGjCDBsKfSxO7p6XX
5EUjyGMzZ83Z4lrCud06J5z5UnwbxXUyjc2jJ/OjPWZHqY27oKuCTddYSMJJdGMm0tPoNvELxk/x
Kec6rmunKlaEiNd0LSQNQxJBIK8vl6WnX9vI4PC5Gh/LaZzw1G782YQA3nTxSwuxfJNLotSc0j05
ctqNsVOt0QG/gGYeydO4hRCJdivuwfrTYz8v12YyX+oh39UkGuz4+HGuOMHLenm2uvSQDeIZd5eH
em4ZwwQZgo9IfgJL3ceNa6/ApjyfsEFM5DX3BMj4kA7Zo6MvYquH463epEd1Bbqcng0CyUtSFfjG
h12ylRnqEokVDi6NWJEM43AXyvHWLSakJYYNHJt5z+j7vJ2IVADxfJn2RnmxwHxba2PLhcH4DpfA
gxH1jKPSCSPx+XasYEBLOuQpe2zq5JE+8eRAJrFXpFv6Jh9oxGS07OZrM+NezbLb1h6O8pqZHhYI
jSuVP49jGf2MUXKhjKih+bDQEzJOjHwI1XgKaUOJ82VMLU/qLhrq/BHmBU8+NfTuRlzZ1GthZjr7
2BtiAqJfdwaEGVjnwg3h6A76ZeWgwR7S6EUyC/ctER/TdLo0uDl7t/TI8Y35hCja75eA5OyMmLtN
7Eltk7a8EMZEySbyzOWqsZJDOS/3jVkHcJumO6ZEm2kuxnURYYYZlKRkDaPnZ8b07JbLJS4t8TqJ
mviU1iQATvoTfdB7b4zplkah7G/2C9ymfT0NdwtKqTiuOhaq3OM7Qbin7mbrFKtgDPuWS7ucI2gs
3E9PCnlgBOP500Jmcm0wxala/Z7Z6rMnx26VT2jDuzA7CGe4q5seT/zsJddhj+o2cG6fT3cyENEq
jSkWMkNx6aBsraGpMyRV110UNuZG5kNZFwmsbutUWaaz7dTP8TmpG8CRR2k/xE4z7+2J5cgj7lQZ
WvUlCTSGrAlZiI0WDDfSZtllUxjQWJtYyfOI2tfOPBwgwgwXbW67F9OgIYaN5gzf/ypHzVvNZBRk
A86Idbs2tEw+d6L9Mg+NfSVc7P9ZNWVcm5uGCVSy8ZjBbJiyjI8Bnm4avklGZu8Ssy7uiXu+z793
xSbDihX8XOxmghPi6S/I2TGJmzJIJDYxnjJGMj83fm1OPMAbwj8SJhkNwOQ5NdepTxl9eKEa8lEz
70vVore9ZflDbz1Oxdw8FwX0YegDkY/iY+U6MxPtxbOBI/N+Y8wYvYoOLk/IgIhprfFcipJ8iTrH
xWHQ18jGxJZoO+4bmnQCjVmGNQSUzcRQ/T3kxH4H/SPAOsN5UIPv3qhH/KSbF21sLk37dzn3f2ow
AdlAGGzgAbAzWopfT3GoF3A9x7Tc042nK9nX3TpwpxOCgeMSCPs79vPfxleZaF0McDodVE2nq33b
HWC91xc2qqI9qeMUswJzzUxFokoO9FcP0+vvz6F/EYxxXUI8av/f//lTw06TLi1QYwMUAn36mz5k
dJxJJgGjIqNLHz3lf6mO40SMqNLaVVte8JW+/fvXpPX6pffh05EMyQMc8i8htW+DqkJZeMz4idye
OytCXTLcQVXK1pjj7keNiAH1ebNsuWxaTre/f2n5tu86vzZAju44yKr+FKZapaQ4JGgb9m3eyE1S
5i6ENFLROS4ukzJJ97o3PY/Mc+DGDcMhGVr2rVfgAhMRWo/dVFgsl8xXeOpKa+95RIkkqIXpEi5H
m+PbtQ0GZUQr1GVyLOxmm1vD7ZSHeEVHjLwm89S7BHHgW+LtsNGpPocWrFfT5Xj4+0/6pxkFF9kk
G9YStGSWYby5sUYWe3lpmMU+MtqtWerXurdc5wvt2m9e56+uqCmksiwiaBPnoF93hjfSgvCPrFVo
kheYq1/PIjZ9HGCBOmwv2bRueuxCkd9gFHzN0DO/IeCPKdASvtQD57IqVRJapxXc3ktmKIj3xv4O
r9+TbIYdljYqaTDO12EY2TvsMqeHEPxsh2Fa5U8xKZ693rS3RTrdTw2P/d6IzUMXu1Ac7a68NIv4
JYhJpocZe/byKXeTlrwE5XLvkv2ydApLquQ+mq19FBUAATn8WFlNZJFjWGf0yzVyMoVR8Ls9V/vS
WMjFHUGN9fcX8i9OGKbbym0AXN0g8OjX60jiU1nDlC32yyjO5cTEyYa/u73SRrn/+9eiwv7TDmSU
YXK38Juy3qY7NsYcOxlxEHsrHfAhig95+bsD8wz+/1r3ks8mDNNUf6JGUe/h1YQjjuq0y3S92Jfe
wAA5noy1GSzP6qSPF+KjO2xQU8PcMzI8jYEX+U6RHbQp+IRY+cnFZWCFM2IDCSCRe7Jqech6nE7V
nGM0EL4s9ih9zPHSfSbtBeKfxG1bX9qrLLb9wa0+uh1/zUgdVe0cz+vMom4B3MfT3yM02GjIE8YI
wtj1U4X1tBG/WAVLkGjXI17uh9QK57VrJxSoYqT6FSAKRQT8p3e3ZWFEvimX30TUK5/MtzflR3ov
5zBmmcavFwwz1A5HXSz6RUajMEQ5NsIdUkxDS/nMuKMqsXCyyWb3lFs2E/cWNvAi8vddwloO0sLH
IpoeOFAiA1uUmz7SH8akkhtGpssqHexT0OOT2AfWKfKMZAOdTFtXRGptnGS+143xeWnVdCT+MEmq
Q1yawACBmNJIv58pxFZVEFU7meG8UY23oWVDMm1Yn2bFwdfaA5FRGr6/OTb+O8Na7hFLDr+JjvuL
TcIzQ/0nJEJ+NaB7vahGTCazbhwKoMxiQ4kzrZyRt2NimhhU4W/uCCZrf74lLk9hjjUB6P+nPVmb
EOwMwtz3jdEW2H21RDoGySHgSeUJ7s9SsiQXbAtXg5LlJQkVYJgd7ZQCkCGZvSoLryIaaKh9z15y
dLdECxez+9Sm4kob3PeZh0VM5FHtT0UpAYTbZ7Dc2ymbL3PM0ZmzLJehTB9JUaBKBY1JFv1Y98Q3
TeB8lKv+0CXuFvHJ6dxe4jQkN7HFNxIqcbA15kkJXPMtKAS57ksXXUzudH1ughDyloCraXko+vEu
7mgk3TTs8YCh1bOW8a7pQn01w3wGRbsDAr7GSxlRGdWacPpNXKTzRn2hwSwjPFAtyKof8AYD/1Db
qJ0sPKnHO/IBaCAsvAZcpArrrKZa0oPkONW4KzoV383Q5qFOLLYYNKIrz5qeGyXI77nASRYf4Rbn
a7ISeGRk5kMSDbcjIAQpLxZa+pzIn+Sw5HWNayYbuOuyA03xDqo8yBsJaOjjl3t77I6ZsL5E7Vgc
UmGdhnaAiNnMqCTGHeEiuNLUTYno1DplnflgNPHvnsf2X2xvah2Iokx+WVFvvfWyWSYYQ1j5vnXm
56Idblud5x6SBdo7trWqv86tdtl5Amo1ld55zxdRt53HdlzVCT9Wk6aUdgXeXqnHmBeByibrwhrT
Nrfwvamf90iWSEmJSfTAwjr26wLeAPlc3hHINUJAwnOxwxXqquAsXy+OPBkaZwyzr/tBUm7pjQTE
1uN+PYUd82OXyhopg8HzMJIlNySkzHaS/q4bOEEbQ9lW0ZJ6fXaESX9rko6yQ/E0+cQGSNzAl0vs
3O+SIGeYK7RFMb6ebeaU26bqbh26g30a26eBhwhNZn8n7elaVfOd8/P5+o9W7zcsRE5KSon/PGD7
mXD9r/LlXzAS+/wpfnw9aPv+8z/nbBAISZ/GaNL9zqtilf+EVZx3Qqj6RZcM4RSy8gexSrrQDklS
pSQVpMUy8vtj0sY/wfWXpF26uMMaBv/0//3fX/qk9s3/v+5mzuf/66ID4ovFrI1gWsymbak++evn
wywKmPTzpO9T3Kzy8CULtfcTdu2J626Ksdij7ji0aEwZVT+IFOxAtr+puxVZ7ZfHuHoL4J8Cgpdn
0sW9qYdLy7Yr11WRc5jqnQLzYfaqq3ZIfeQpYYrjud7V5IgwEsMiKjhWhDTsHAp1yMqfTdg7SwRl
gjBUfdGI/uBs96h6HHGqVfdhWsMKwHqjDSF7tXo2Jx4qJfyWgulI+iWBbaO+nKHWM/752C4lCR/0
cdjzW97ehPvPMDvFUEwfinm16B1wtIbsjKA59GGzLO5nl0kea2JPUb9ikrciH/sy7Efo7ckCTRsF
gpvBekKfwbEFPN6RfdSmV2iHb5jt9/5UkPOFA96N7X0WUvPb0HnEWgH+VyJWni3X5DWvSXEhECLy
+xKjONQUTZ/eThqe1vXY+GmL/1tXfQER0ndx1l+HrUNLWjwtPJ4wFF0TVJLt7IW3MXLek3xaPOeT
qe/SBA+7WR+fC8Ujt/v2qmhHxps6E0i75cWWbZzK92FOUOZ5y/xzuPzmcKHvs9jM//l02QPTxvHr
8+THj/w4UISFD7zOmeFIoiSJkaWi+3GgCFt/Z5jw1ZmAfIdj/zhQDOOdAQXL8OjjVUq7y4jhhwxY
cNbgrQsTgPDU/5mpaf26m01U4y7MZt6WrXNyma56qr/qYnQcXpfECo0P2LhUCLSWnPRJSE+EGCxZ
7l1VZtjcQN8kHthJsVmPUu3W8Op5V+CCCbMrdq111k6wA/UgGzeajb+Qp+GpMQ3V51bX+T02+UHh
ikFPfJ00kBXwz7HkRRlN6bY3oX5VsB8xGiX/IvKKcRPTK+9I20pvl0Quew/HiVUkiN4uFuxeEYKN
5nttiqP3EwlH2Spqu/HRC6v50UH8EcMk4bKto3DAB7VJG3JkMr0+WLNWPWEMnjx24ThfY8kIK9VN
5s9zszQYg4YYwxLy0H0bmlCQ2UCnH2Kqf0NLfiM6DZ883P+Mj6ivlvQ3B+qZM/LvM/18C2wGCNxV
tNhk1qsi/dUtyBfTTLSgtT8sjfQuLNlbfmVMTNS9clKzOBBeDicj965LpzKusFfio1W2W8LqSXWk
H1ECHOFY5YW39APjOis6Gb1ZfhVxqn0qaqu9jWaMl6w4od+DuonHRaRSWLLA3YUR9M++leV7120+
dnj67a1qvMKxwbgzImMHA+xrUmP69GqTXH//dK8fZGd1+S8fmgmmWsAo4VQv+JZaXwFahUD9Bb5L
efBZqLsf4lT/QMM9XWsOkTd9QjQQWacQ46IiN1a51i3bFvIehGDm6lUquAyeReKWQi8PYynJCJz5
qpaG8c2oSsGwhcyiqLchEGLDcm25wX1oTsbOi+OMWTFENTvN9H3Mk3MXEU++w1fF3sxl0/mLnrOm
ZacPl/oivxZ2fzU2hth3dJd7fFXpc8yAVgSOJ5F5UB71you2Vvw5q7zkYJrl+IyFJJywTo7PZHLJ
Cwct3b6BPUrMD2yHaui3XTxOt2zK9OQMGpupTeN9Kr9i3Zg0KztobAI4oRZTttMhYJY00ZaccQuV
UaQvcFWNGNzHKYrpdiq4S6uuiJMjAFJ9NbuZQfpdUX1zsxotWzFitAkKDCVjWhyxLaK2JTqyii+z
rtOPRIpN124hhqOV1nw4Q0Jj9etoSfZzA9d0jeuFcavF3fS+7QQX1IjDbby4kG4ttTe1dIFUO7af
zAhDNi9MwyvTbLy1ji/Yb4LO35xZ0Mkx4WLoJ0E9qKyMM/fk1YYx6HqCcHC0W4LaSKXx+mKn4St6
Dy7obhoHzrfpqbWDn/HzaLjLuuWpPq/NcY6+JlUJboGynIRMvf7k1Cb+R1GGvA7qw+Qp/mlv5x/x
e4MeODRWtkoGGAkZ9/6qDAjM1LtwIQCZGIGZ+ePtBAJnIpPgo869Nh9NFVjNcTVvByYg6kBl8tRY
VScgTWuGj3UkZgoJOWcnKK/LzXnZoqAjviom+KKpoV1ifx28lJmL36uWt5+8RLSfCuywoRzHkFBy
/JMjqARF/FTo6Y4Ub1QbcHl7Jj7EE+5MYDLHT93Ife/q9c+wmF9q0tdb9zxZ/ffWVZcf0NglpNwG
Uma0/sY4YqzpwELk77dGU0HG6YQjVnNTax+SxeMT4IsJulG32l0yx8i4rKnyqiMAVTTtXF2FG0v2
ICbTWU0qcjpUj0xumpk47hFvsUo0BAKRt82VNjJxUce9tv37s+evPgBFHW/LZvbBKFJNfF+tn2JJ
2wY9qnOboZP3pwQkq0Zpuq3tgGS1tuCcCeqR88KwOWLwbdJ8CNWECQW6dSlGXHjYe/CIwXge5eQI
vN8YqUUGY6JtnbnBHTp1UoOiIqSC+/v3fn4ev7n4JkxsxjXANaoJ+PW9j3kTN4s5WrcIqkkGGrHA
eGE1B+4epjhy/iVeVLzq9D7DtWDXERKN+TmepxduFQ8H4ADos57RXGQWiXhEZGh3nZ17Ow95O8Mw
Ji/vF7eNrxyDzz/mmLauOmS0L/BnKm4RxtVtMPYX+rK4gGn1Ml335pgWOwdNBHxOCyTdYATf9X3w
CQFmssfazz20WEZia+3Y26yV4RYZ7vQZk9xl14xDcIF9euMvWA+7TCuM6ZuAbNMwHDUhx5DKLPxF
VthslemTyJt9G8kCSlZaVReZSXgU1uGkZY08Nc5bL/C08GsTaBEZKCl/2RfkIi5TY9xCRyclL09g
SntGHX3Vq3bZJohCPrPyhm9mlqsTRF0adKqHnsSyo0mPgq8Ak/jbKmYYORt5eqcT1UzXgFjiAZ3v
syxzTI/CaLpIR4NE8oa4K9wAjKtoGvHocLLpBBGOZ8nfLwSKRO70LysB/IOaAWNP61wOvikbOKuh
q6dDfUvGSYePks4GW53P5myc6t2MIpPgq4APgIVTuKUUqx5tzI0xvuVMQqLWXkRa7UBCSrJDzeSO
6EKC0NL1oCVxjuFbsUVprbarcPSnedSzjxz/3ZMxmsO3PnZMbQMOlTubNnJLvNcox45I9y0/dwDq
V5NZwJXLJJSGbSbwp1phho/WM9SmzbxUzsVk5h+nsRSSd9nOwGP4A8PC0m4kG2vEkh8PjtriscL6
ijYNRgr7SSztzmTX7kmUVCWnuq/VGHef2indQ6IbZuDTePE9OX8SVQXhqsRYjPcD56BN2BAQ9Fis
idGaaxx7nGcUc/mmGQaS6UVCpJ6XzRow5FLvGBNGJdyKwPTWGAZG9zwH4nvygjGAXKpRQveKkXm3
+LgtMOlqck0j6hZifiSnwYpg9uirBhiC/p6QRIEzYHnQXXiAGhj4psEkPlwR00Ay8ETiHh835cgj
lo4Lhe8NXwddzzbA4ouwd5csSxMvf1HchWQpXwS6eQ6tTORTJAPG/6Gwq/QSMxFV/ngz4e1xqflL
WOtPeYaUeN3VTKhmTnZ9rRUQAENcgbGaLlOX9LGyvNRMiDtri67/QZQLLi9YoCw3ScEggXFoMt02
1JZ7ooA8PInbZXkx7NS9cPtF8xm5pBC97YCgAb1ZRh+2PsaDUOqjtd0EzgrWGqswrqkyV1PYbDpY
9BqYV6BvYrlkL2hNbuErgplZlK3BakxxCMzGND85Th5dG0yK1zwMPK6Myqc8b6R/OtvfdLYGJwq9
6H/ubI8xOsS27B5fN7c/fupHc+t670xX4jVMCynPHLM/mlvPoYNVxF/A/Z997w8Wsum9kwpJdSiA
EAnif/VHc2tKTLM8SfIZ82PLUy7Gb6Zjfzst46H45pCEFEenDB2aKhGwWLyZl0mCA/POLPTLAis5
FVYkTEqWSRTBPu7EVPmEqnQlRgND1WxJV0Qda1ed/Dbh/tqu8iVG5I7L/pEZm+khCaT9+DQtmQlR
lWh7dGateApdI/yYT72zjkPb+jSYZnfE06K7VukxwTYu6a/hhmrOEW2vaa4HGwXEDt5ISjuQFJfs
LnQ/k3WTNZ180kYzgC/W1hBKmQx0V0OC2vijTMG2rtqlXnQ88mzAA55Lsv+aLDO1vdFO64BMt5VH
qPAytzgpcXJvZKPLNZah/ecxsUYeD/2Qa8dUxjyna1KqKizv4ESHAeLGtTQKHgtVFsQfGTEyXY9G
8p4bYtHtC2Ta7VeHM/gDNBEDZ4gu2hlT8jWrvdkHUIvR6dUxAsPBMHYwUe/mVKbX+HsGyZ5vkUdy
K/BX7iYZIwORxNY0lDZ+J7THiaf0ytUxObhoWkdT/u3Sr6GP4CTkYue1RE5tITjR2luhZ9ZxAD/x
Bd7q4qL3vBqi2OIF90vuOh8qxwpAdWbDvUD0DJkraSsru8S2H6eG/5+6M9uR3Ni68wuZAINkcAAM
XySZ81BzdVfdEFXVVZznKcin95eSjq1uHetY8H/jCwkQWp0Dk4yIvfda33LgNX0fYUmsAQwRMw1q
jWtQj6tmUOXB9qocyZnDtWQMxZHJ7kIoxfM8Hfuhj1y8RDUT3MRe7puSuYO+DSMOI5mwGcm0jF6N
ftrNKemwRESiNmYUjHrRncOQpmRhfK+ZCMNA7bTlEcxhbiHWmpCkW1fF1zNCv6F8ijhpE0s9kKOl
IEf0udd1W2NIiXLZx5EsgfqmuQQRFHVQ6fnlSDOXMvfWBZsZJGDrsshwWis9LNc2CZL7ZFzuXXiE
V5wYsrKsIr0vIagBzmVT+LHt4Z4Z+g5n4qKZhAVIY1rnSzj6BALVCJucx0zJoJDGHoXnWc5kei0T
kXZJdbGapfEHmW3pz4YHJys3OKG6J6Jb7hTHhRUExmgTEegAYW1+EfpEG8ZJwk04zg96nnaE19Ac
XewmPTWFpu9Rm2UM+RqopVrZr7JO0HPVYmodSyUHa8irzcQh46jl87LXGx5Nw86NJ282XsveJT4c
hsYqjXvNt/p0JIvM6fuDNM103yXTe1u1+YHQlejY2Az0lqXQ1xxntxXCtY7hLoHmaFoyrQmSQiM1
ptGgQ9KViv0ojj/l0nx3lCDhKUS/ZTc6EYFWm7m+brlT4A3IyEupCOlM5nrbpMtDn4DPE1UiGJpK
AEhtKm759OkxpQvVrkLV13v22eGTBKSZYG2Ti8PDtmtAeGUO/gBidfsdts59OcmHxiSEzU1Oiwi3
XjsQnmQsj4lNDgHK0AN9mnuEbvsSEyVjcBSTKVc/smPfHa2nrmm27qzOqaEpWiWDYiqVM1INFyCe
ofXMQQfwHynigSjyz9zSOXaXkx2keTw8JFp5dhshiC7BUtr0kkUwcc9WzakkLZRa6bjIcQ4Y1p0+
xOX6qkHEbD1O3Ft1J5ACI2chyb3zNdJmdm6bf5BskaBe1L2DzXJ5GFoTZV9opozr+3Q3uGYc8FRc
u27N3Zh26yuTySWh86IA3rzl19UsG0KgVG4KK7auDes+MRroz3UfUzmm7aam2IT+HX/XtQ7PgqG+
4r4QO3qIg08VArJXuLMvtdA7DECd1vg+vDtaNNfAatvbZ6lzH9rt3TT2+oZlwiXNWJscvwOY8o11
BV0fNLJxVZt9eoGsQrZ0n2HO4Ifa6FUzXGQkYxB3yiMaRL9fWq0PrLR46SKDQbU33Myq2JRXw65K
a1BuZXff2dQ9Wsx5b9DTTWqS4Su1ynqLLTSkZszuAMkITDdRw2n/mGOE2RgoeB6mbDrjVGh9QkzS
J0dLn2SE4hFHwVu3eN/tyNgbA7KgWgz1pshztYqNacPR8ppcskUegZYrbSzcBVGzxTj9UQKAXZOt
3e303niECZ5xA2eEWBdIM4+SnKVLLMz7gWlP3sXPdmYs1PAL+TWEbrHSrm3Nw5EAexDzkZ9d19Ja
c2/dztx2CQdIxU9XrGqAyD7LqPuaYTn8nuNiCpjy8qhpiMoMZyTJeVyPDckaIMI2cmwMYniYwzQj
sS64MKvYz+bc3UIMW/Zx1e/6Oj2QZphtUeOgbqL5TEyJRuh5lvtLCLDanSyvQOs7WB+Wxu9F3gVS
6nnRrbuYInO1OG1zzocEXvE0Vmuq2Pi9xgHqT8ZwUklz7Z3lT8Iad2VYnb1xYWNNIdsZbf8wzt2l
SZziY1TlDjjI95RgtTXRj+g7sypDP+0kx3E296ItxIYK1cVfTrj4RUkrH1cAIOsAdrQ4ykSSjqmZ
M9kFkfkCBbO+N0laLxlf0cRbu+SKYBUxy1skk11GvBhOkp59DfIWQsOKCTvyD5xPQz2cjKgM/cQA
8+xd0cmhqT3FGp7rcYSAWF0xeS5eaN0xnjXiEG70qB5VYM25hex+hqR/D9AOz1+XLQc1mk+W0ut3
DeYZMLSiHLKNdCbEk2YupnZFq3Med+yz+ON774NYqlsRgxnoram/72R5i4BZ85tMu4PxNdxkKvnW
tWa7GZRdHcAff3M7K39URDMYGj5gwdcLjDIHRWy56CXJnXtLF9GuJxm2exNu8DqtxnhLmGuyct0a
AwFqRD/pxheiTbo1OdTaORqn7BlXEIKdsXO/7EFGwYDUjFBPM3+rkOo+OJOGMWlwX8wMYUbhFs6z
g5GLmDVb9w0nTh/LqNRXCv391nNIhjZN5CTKuj5E/GAYc5UJUhlkPc81Hy9qGeoV0JHa7H3WNefe
88rxm9mNa53G3IUUOgmSiy3bSWtR+G7SWnDlgS1hr2zzIxUVKIZhsDgjlNFZGPmuzyCvaNKp18Pg
VfcE1JOhYbjxcId31t0tjt180xZvh9ZePY6YzcHTJLijvSVLTlimfqA/+WB1zhHg214wtOHwlKTi
aEPL3tZeC2Rz0pI1AQlsEIlnB71BaySWhl765HcYlxL0vl8ZsjnRgKTG7bv5VFiTt6NoV4ETNx95
VAg6j3kibut6FA8skB3Gp8Gk72X3U5yT4RahziQUl82r08qXBmviMbJnuck5Cz7rE6psv2Lgit/O
ms0HWtfivcwlCLGEOW+z9GDZQriimsg5MAxcc8NjsVxQ/nEAHg8OFShcdj0oTeMGoYkFuHkiyCI8
xF4eFJw8fHCLTJP9IhTFFB9bRr2brBijB0/jICrOHLT8ohyfW2/Z28b0A1kTMszaWYKir4mrIEBk
H0IaWy1Keni89S2/2kGmFpaFZKR7XFWom6zhdezJbDQWpmhlzWhA5pSy4AjZ/5BVx1YJqz28isxc
ke/M3rCgPKbjoQS1GrbmJY1T8ymxbCiXzHaOSVxUxxSvhJ853sO8xJt8bNr7Nh6trS7ewWRzYErD
ap0W4ZOIWnCmDQBDzTKJM6triG5IC0cAfa09A65t8t1Cw8gvWtJDEGcLv9IwtSfWGLgkQ7OcJHKF
JoJormZcuUsWv05ef7I54G90l0tcePWTqspq7ejYt2VSIAdGQ5QKtwgoVTAT9nS9Vthc2BPzal9V
1r03wQC2I/MjL4enqp7ljWbTry+oUwzytjYwGywfnUxQ03xAkirbM22ScQN5yHjOmVfAwi5oEvVd
gQAI2quaNQtnHJp/s8qxWdDxIXGgqk5ZsdCyr9Wm6jjTJVWY/MhaEQjl0O5KuMtJfWdwTjCGrdzw
iUyWUxMP1qXFQecPTfnF4Re6S9xBD1gqP9bA8SprvFFxF28WGhxPrZUmQW4NdImt0iMuk8OO0bhy
NdMROmd4EFYzHYsN6igof274rndtFHjQRLfxlKk7Aha1jdcxHp1zh1OPqL0bvU4v0MiHi6Ej5qia
yV+6FjwoxMGLkXoHTbg6gRaAe50rKBKE83QiU/xHRb2RC+2F0cZbVJO7KLrhRJk7czEy8ieWPbip
cb1o2jaPv4hOo4Vjd/pJAN/YNVl72yTmsVQxy2PcgFwH2L+pa8rbETPg1iTKB2uOgJORHl0B7dJN
9YOeuU8Sow+28+VNOcNHOETvVZVx/1Tm3dCfnSp8IgsO6woCiVdNow06WPmefK7Fj0zntHjud7eu
EJt71TZjc1wZkUs4SmhANih1wbiovksnTmdal+o+FGKQrhk6k0sWVhPHM+2W+MXRXWWFWtgS0pCv
y07QYOCq483sut2+5Q5+ZVz1SaQj90g4wQ01YU+sJiu/WkRl8ZJXaVGtk0QUF7Ysiz5lZeYc8KrW
AVPUlndTj0dn1FTjkzKdbdNEi+hsG60e+1XW1y/GJK4G/FFS5NTN04TcfT+O8bjnVJ3tPaCHW8sr
rU09L9Fx0gd705bDI2PmCMm8d+O5wHfLRBNfMumG4xIn9qE23XZn5NCP0FTOGzlZ7aNVYqNxW+ON
Gj49Z6VFgR/pN8sS4RjtqujE4MH0B9x9Z4EQGieNUlsTn0GQjlRLI+1ZlDUO8zCYryEKku1YmlYQ
oQ1fFQ16zKTro4DehrYqTf0msgbXt+uUeDqgoTe2IFzDyed3txgAmRrOmxPlXDEOtedyII+wTec9
tEKS+ibiJgqSNKouRvaSea9MuZOA7D/cBwVRfwz7S45B7QLnh5fvPBLqeHYiTETcrsWETY4s+B71
dKVUuokrPd9zbtyDj079HKzFhuVKrlnNZ356Wa7zLNmmMWzsWXPvSaewtpTCdFxMlb6MmedxkrZ0
qFFWfNXPUC1c5s47ll0JySBLrcAIHbkiBQ+bGOVHJYzm6Mzogm1E+7sus4Tftpijsx7HRJ81/aGr
zK9mGc6zx3ToWlsYS3IRrO64saICTQM/Y0UHNMX2uCYIABzbBMcI/FUfZI2rHScrvWV+b6yyqjhH
tvNcudjTOV83KPO5/fEUbEqhb6OJfkeOZ8SvZTxvhizhpVw40jDaPpeqvsPLdZ5rfEbtNQQ4MqHr
NNRZhlkSVUXszQTc3Ahz2jVm5+tEmKBL1cNdXOUMWLJaXk3Bh4knFY10Hq70oWeNJOUh4AD4Pjrp
e+LIvWs1t6qv1J5RHcm4TXNkiX6GoFVurEGtKbW4kwUs0n5kZMDTQDKLGIytqybaKAubrtVj16wF
6V3a3k0JGh1tNE2NgP+lQQH7hg2Atsk0TeTD5+KRtfPemKOZbwT5J7MnKi8XqjDG5KDXkIAv9Yow
VIrUMCGd0sV3T47lewnB5S6NmH1ymt02UxNjPzGXJ1dYt87iATGthRGYnb7pO+mQptemts9BWQvs
HKomBU76WJAo6Yrm0i3GMXPtNwafTKfeelFsh979amGwU+ZiICT7I/W7wguatPRFikJtacavmkwP
UnCy17iBt9lY4MQ7JMAZ5HSaKqimnSX1oqAs6QXEYI+xgYWvuHBu25gFGjtZayu/JgTgphhG46Bx
pq/pkDN0m0aK8rGZ26vnjEKKPKSVp9fNuuxU2QYxipCpAdVfiCNJrzBd0ZgNKsuHDV2c6MCWRW7G
IpyGHXpuhpNWLe3W6miirxzbavcJw9dbl1WtB2EtWllwNG5iFwLuYvePmmUX3aaAvzRvSFaeWt8U
Ma02mxphZvkwBvIsLE80xqrkGkkY4LiAtVk/DSBoEH8rJ+shAXkdHYvfB1//1f367Wd1JWl0//36
wh8cLljn4v5//PyfNJP/eN8rgOOn/1j/Zu6+Gz7b+f6zG3L+6u8T8uv/+X/7h38gPf5DJ14wzmWM
+3/uxO9/vMU/QTT/+Bv/kpgJgJica7FDIbvGbs4k8F8SM3FtwyMXtVBM/JS5Dl0TtRGeOJv5ofVb
OsUfAjO84fA4PRuB2XWyiHTtn/TgUb/+0oK/voLOx7oGlOCj+tX3k4mwGSDN2hcZW9o+QpbfHInO
mQ3aO2KWTsTIuMjM8qAQ5uYPS1JL753sis8Yb/GD5WTEjIrKfESSSrymoyVHyJ90FnPDZQ2rCUTh
0Vg6D8C/ucz9vZYbEbiIaJqaJ71sCMctxyQ3i2PmQdscR+KDLo4Rew1PUO5uki4u90U4c8hKB4C+
s+CBLXKLctqVmzhh5rCmc3OXUU/S+CIR9ZSbNYrXwei3sz02BwOr+A9id1+tond/WF6nv5Dw7mz1
Oqlf2yK7uqgLe8+azGaeMiRTuOFgaBhwjZc5Vju9rqwNP5R2oe4OKa2ccRPrLkoIvwUaMra+Uw+C
nVBCkkA4kUzpDR0j49s4q5M1mHUgEgUqL4n1+7krq/ueI21AC+sb/WLvSUk1I5aDulEb3jelXAxE
+uyH5ljcoTxrdtbQGpe2KNBcuSYZHykc0mKspr204+Tsafmb1zcSLQt9CAnS79iwz2/zSht51J1w
P4fS3GSlyD+JxmKnSV3xeZWQNAwB22rnGcnnMBjtGhu0+i6FO4ESTFJ2kdqN/KbI3VfDGLK1xETM
tam+YaD9xoKanMumXpDRTuNL2IPJQvJSra0scXxZX1PeYJeNAA+L8XpYxQ744CzKslehHtf76x35
1IydvXHZNq7dtTzbOcbQMA53HLKXoDgGpTaO5lZH9DUHdU4i/MrORHRvgRO/neduuQmnWPfjxWpO
nCPp6ia6kryLWa09x7G2BKggXCnonj9AN8tPsqjnUzzb5hnDGD5qOMa3U9u0m7Lr1AeN6pz0cB2P
1pBp9Rf9fZD40WSJbUEC2KldwmSnZNmdesgljErtKfoRG3iY8rrGvCd6lMfzUDtHiocYEn/v6Jep
nDm6ULvmq7a8lu6NPXpg/bvhmc1+mBhZzcaGaUwz+wr8Y2BE8bgZY4MWnVZwGGQ64R3HgswE8mOx
AvkjgqKNN6lT0vChnIYQRYK7uidiP5hBjDC5vqphqdaum3tgsBBbt1L7YS9SZ54dp5zmqZhXZkuc
NqwfhGtmbdYbJ9W9bwnZ7HAYnGMdlsltATd3Aw1Cfx/BjG2MRNgfGaRn5BoFExR7pH98BZ6sWtFP
373KMm+1LHQC3SFqbGD3j0gDmeZjhT+7911S0Q+unUEgL5B/rOfBwNkosW8vDdBv21bXU6bJ8Io8
u3tCRqDg5dPwLGNZ3YGsiWlihoylHS9izlDTiJOF59Kp8fhKdkVWD91Or4P4PWHnZtcj7WVMSZgm
Wy+Z3OVpVA1ER9RRm1jqLviAmZ+kt8Jz7JbtrU3ctwjd9hFNpn3vmcOuLc3lZhrIT6gUEezYOqdV
Ssd6D65+2rmTXd2mhaGtxSQ6JmS1Oz8Q6lifi25Emmk06WuiiwbFbYZ7fGqnvTsncbgvYVPC5mlw
SFW0YlWtnwtHW+tlNd1FVtOeZk4vPounfukGfu5KliDKC3rho954AYgIfb804oeYpH2pMdXvDTJL
9kU32KtEUImrsjbQ8IbRtjXCOAiT+lFz6hmnumH2D4sXz5+FXgNG1ZyZkVhh3eEvLRDjkhKGao10
Z5EwOXIwJgYJwxB0XktPv2NQT2WuW5umLiPEGaN91lWpraqKhchjPhKAqqBdV+nxbiYwwtcUs6/W
IumPOZ+0X9gElx3TZRDfxHTRuYtNf2Zc+QWggIkVONT7jpBGv6YLgNpAf4uWIlqTqJwD6RnHrTt2
GpUespkXBD79qS3y+464WhpJBAqaFAVH44qbWkrJNEq5y60uEu+mi9vsKngKl7UV0b0pLFxEhkkh
1mUukeJObH2SsTauJ0d90LZBNsWaSZZsNsV+a0vtFGsWDZhaTt9qRf/OEvVyb7uTF/RmZb8Mbsyz
Ydp1QM8r36PpVecyHjQWLFLVJplYr1k+4jJ2IOCJkEJv0SvxNhWRFYC5egoHlnRjmo2dxMNWUC2H
8oH6VwW1vgCH9fL7RRd7Tg9Mj1um/OtMJ/2ambL0AicZ7yY85d9gXhUYwbFazHYZ36Z5N9OZbqLp
WY/s5uCBVz9E4HDp+2Wht2PdhELS6ycmuub9sgy3Q5QArsj1/DhwwXzJvYc+0CgOIDRWPBIIiDwB
VnOJ4j0u5PtsJpVHTW2FA8MMI59GoktWuj1sIrfP1505FL7uhqc0q7NtZXcDmhimBOVC8TnVBYkq
qL03Q4EyKeoB2Boqb9b0fgqULy3L9xROb3GiM4cfdfu4jJ3zAWAmf285wF9k1951ZiEfFtd60mcL
EqGHc2+aTGff9tqydQeH4HjpjE9dEQ8HaRfXjkS/j1OHBlEGY2oc5mw3kFhFOpMWdYfEIGXeSiLr
vovK6hb2Rxa47Fwjpso7QQn0ok3ldPLYlWmFiXD8BptD2+XLKE9FnaQHI5GbCosdShj9JrOtZ4VS
gOKkyNdJSSHrwER89NyovlYuzU3t9risu9rc6E34ifGRJZBp5tbtaN+R7pLvuipfTrFlTcdaZtH3
0aPf4nTgGOolbwIm/suXbPLHuCAO3WAw9pBhM9/0IuupBmi+2Kl5RspQrkmxfQ07BinQK+MbBLak
eqGEVbY6zaGwnvImKw9NSmIlgLZxm7RARROVha/tMCsmyEn7qjQoaZE3gLrBaLp3pnTYEDLyem3/
U/cwOkE6scqQQaM2it+0gYioFr7byiH+5eB5gMqzKD+q/uhUtkXKY1WMFyuvIpq/9NZi3cmfUtzD
DxyqsmPZuGz1UiBNSqbMTW+qqhd0+aP6ktNGL2yzpprVWwJarDIoldS2cWoRvhMb0clBE7VujXTY
RWFK05TIUfu2kbXaM2UXG+UObTCnqfQna3oF5psSgUKnaDtNYrmpJyf1M9mKA/VYuZHupN4GN3Rz
2q6Uh2HW2dRtZGiXKxt8SiCrRX2UUE9ebeAlEA66tyLywoAP8lUMRbNJi9Kr/LnU2j09DNcv0gyA
69KCy3OarEhXgkzmc62MjJAQ4KDUlcgCNSv6EfatEVjlwryusEG84OtU91mW3nDu9ftEJz7YsJeN
DjtjvUyhOCysAz6bcB3ErqvvGCrpX65DB7SHAb0a4PIwWuqjtUgYEHP0aNddnt1Jh6SlVafP6hiG
ne43pZHudX7q12sI6w59XYgxfqgZSM8dSmmCyJi6ax3WypxpSOOEzvcm1q8w5oG+TbLod07NhrSa
5ii9iKkXH6R95je0v1gQRiP3TXC2m7Bc8lI8uCokRisIUZJUH5AER9taFSWm5EdHxVlmHULpJtmx
V65XPU7zyFWr+h9Kg3zvlZyU8X/bYsEklgPW8UtUNAR3JJkTzHFUBlofpj0Jr7P6rG3kfpPHJ+SM
IL/zd6pXLZoIFjbGeh/OIRE+YnRVoHduchhGtzkzYpAU33b1YvLkmdmMAEkxvKKF1QRDNBtbujE1
4b21KlG06uJcJcplRCHoh0wUcxdnsB8XKM/oWKT9w8pr0BIEY9fHUHrTWi4e8wJYOavUBmyIjbm4
0ydIfbZJUC2CpGnY0RalR4b8kl5DZQSVxRHGmLqr+hPygN3m1trJpXHUyw6woY4nJZE6AQIIeInJ
myFgOBrvp2d19aSS0foGExuudZfUhQPJWiMIXIfxxXw8xdSMVSjJ+/mFUd5NlLpcVj331IOa6JGM
aUS8IF1fnQ5XxLC8B1remtfZRMeMGPt7VKNn/601x0lrIAYMGeuqq3FIqyJNHyM37196jp7UTOQB
z+USPRRy6TaA5JszaMV0i2mP6ksaRXyBVMTssioVMuGh1vdz2jUPYVjofYDdkHCexZN7ZOLlPQOo
dhU1onlu4xZ/Su0238sqeg6RuZ4sUNYJY3yoyaZx9U+VNGlQWelHxyvqh5GM1DIIw7p0zoOKrbsy
bt6cpc1xPC4Kh6MW64tPgjLbfrJEFoirPCTfKp/zbynTgSc3ncItbgjYQzO9XkYJY/+UMcL6MWoI
ZxFARMeuiOqAT1Ru0jblIUSGQVvWZsCyovTgrENOLpOhWE7vC6c+TvwaSOa2UvNt47hAJksvT+7b
CDmQ3lz5KWMKGrtzNZLB6aPtp4xYqHhZ0pMk2ndfmLDPc0nl4Cibm0nX3nPIV08Ag0OJvMLmy5F0
Vq11OCLEQyPP486fGGSkznKjzdUSkDMWbntjzO/L6znJXLivELX3K4Fs7hAaWQKBkOyoJIEqV6ah
8FPKsor683qQFbI9SZPDdVLC4mIFi9akEE3gs5AZFM33Cqd/cSMIfTMhN9sUYw3IfZ38c4TK/hAz
CcH/b9nLD21m+HYriJHf2XGF0bQctflbX6paPS6TlrK/aj0Fb3876B1GAgaxDthpeAGtmo5cktZ1
N1WEcRWWkKiwmf+3whq72Oo1dSHKcBtqTvNID1s9/6n982/cU795bP+s/XZxAZOLLRE2QnGVV4vi
nx0MdaOmNDfFdAEnIwPNw6ouDCZE5LdrrhuE0SuIMHKKjAPj7Y1mtRsZi7XrYMcdcK9UxC6QVugt
KQ3qZPv3H+4XDoD+22fDWYGS0rE9PAo/f7ZCjE2ph8Z0qev24tScFdFajv/JA/RLU+n6JoLYCdSd
iOCdXy8ALEtF0TtOl8SA6ME/NmmHpVP9bhX5r242npOPFmX2V/9ze/G3luH/7j3+/9SSxAD/t6b6
81tSfv5ZGAzo6vo3/mhJ2tjocc4yZzCkTaaIx03wLxs9zUpXd/Cc4qYXP/UkSczFToS1CPKJa+LN
+bMuWJeOIzHSAqSmmen8k57kL3eohZASBD6vQ0sSI9mVz/nnp2fGWGFSNi47Rjizt5bzmTPgP3oI
eAuYm5ijYLnwkaX45S3wyOS4XuH5j6FJI95dsdYgkeeS/q828L9ZB/76RX5+l+uf/8nI1IaeAjbJ
uzjla6e9Vuqzl/7/21v8stIg9rTKauQtcAM4+h0G22Z5//u3uL7EnxYzYHBk7/EIk6+Em+UvuDRb
5QarESPQyXLZfTT6Okld3RVFs6VlXPyz5emPd/tNYI612/4tueZP18yhG9pLjuRopiK50jv+lRSO
WudRnQd//8X+8vNcd2bjGrUjMcpZxi+kBL2zOXgrwReL3ehRQShcRekozjrM49+nIr+PHP7NnfBL
k/23b0VP3DCtq34egOnPdwKnLn1mQ2h3JdPmU0ZsDqc38I+hWtSqiVSxrTin/tN7g+9nCDTxyPkl
hItf3pQ8aGFoRO7uZrJcV5xF2P9blwhnjX/9/aX8K1KPt6IFjgQa8Abzip+/X2Zq9VLXWrtDREax
m4fs2VrjpvvM0NWKrOPmtp6FonZa4vOQK/Uf3v/6vP56jzJIYdliVMLS9MvzPEdWHetZ1O3cAic1
kk0LJfD09Pdf8mcvPh5orqeJrd+9eix151eSrhJIuXrMeTt412LrTDFny8gxw0tuAClfZoP+Igm7
64pg2M3fv/W/u38IZkTchQP9Cjf5+fp60lIiMsx2BwNyXtem7Akb1RjyOpp+TSWOYpQuMXF8f/+2
NLf/+vRTUFp8WYNNAVvjL1e2gwucRkibsG+V7ZWEix4q0TFUOxOrjgyzHB0kInM9R9PFNHfYqM7k
J0iV2M5qnLZJ3bbPRryYgjN0lwZt79wZktZKEI+KjkprJ5uKYOHA7NEWCbzDD4luYLC6RnJgVEB6
5qROeuzs0SFxtn4t3DpIkZOs80qMuwHdEabpmGBiT9hBpjnxmX48YoRmqFZ2AlXJbod0H+u5c0Qq
Zb9ohVMy75VzTISPZh/JVoJEhCB5HWtyPPYRIW6rTBGjS8rbcBpINn3CWJcHWMYofJzmw8bydAiT
gkpLayB8O0uxtYzuZMFVfoI9SkRTOIitNjj5umKmtLcKHZbRIKwNTceGc2Atzq6eFWu6Lor5mhrv
TafnRTK3PzGUntfV4hqAHkjcPYchmIWKQbUfVUN8F6bj9OH1xXw3LibVuB0qbgMyaLZasnxOpR1+
j2viuQNah8uTPdnSDKZFfLatgicoO6v/0q5QVV+lef/M8Icuv7J7624kfor6mgssLYrZWRrYA3pC
bpAD2kFRhz3BsiGZHij1i3UoS5DJfL7M9yT+xiFPtUsaWZ99hwhsmvur90U9WYvx6ZFk+6IMSZdw
0JLvfaZoMcwNl6SNeZDKyfpc+qr1VjHs+13asGKkec2PIMOlfx50Xq9QfI6UsfWh8GT3nFxvfWpP
51iQ4Hmuiylcm7RttkM3xXdTTg8jKs0x8FpsQxNVFcAKAzgxG07ke5T7axf8egpCg/QWOVvGbhEA
xJDuQ55u0n47FW62S2U6PmACHx7AVfM/U7hyY7gJTqAIBDy1IHlorL0rS6uG9QiO58b1uJzMdERI
WFJtBAbHpks/MaPYp4ZdIF6g2mOKnxDKjuJT3INcju7mKNEfUpS7akW9Km9QXaTbOIr0rbDa8B1B
jEn4raGFF2PyUIdkjMiGlSVKAHhhaN1g0DUCFBq2z0DHOpB/25wazRH3oljGve3V9m2omdq2q2Pz
1hFFdJosSYXcoPbD3Em6txz13RA3toHzA6LNgGhUgXeLw/eeeLcVvL2qJ1530LZAj90vK83cL7LF
e7/TuunYOsJ7jz1drKOhsaDsUFWuta5HGlp51+sR6pkdiEVhSOq4kt0I5jeOan0nOjGTEuQZJzJT
rUddZcs6nF0gDKYmxRasZ7tFbzV9d41wfC1BZ9zpRaPvxgSmcIDehcKcJriJEUW4HyLr+kND4+0C
CIT4DgaSyKEi70bR8HnMvZ7xVkflvFaNkMfJiOZbcyQOKqpb95b01fJtpgy/a2dYCwq7ykUxkTih
UpzPXePJY1aDGhAkLPj13NsPNRnhQb/My66ZNPzWUoeKgvbmunjlBnm27aKTGbfopBiAIrVlkLgm
2q9w0r8sLCLFKs6rmLDvMf0hF7vbkSjcrRn7dVtuDTjWxBlt6rnutn01RUXQ1UkXcKC01oNuNcd8
spdrGlATPy5GQRgQHWZeU4YxDhHPYarglMuBTxs9GnhGD3M2N0eZGlcYZYhWP7VLug2ySL29S7Gw
qcAHBiTgwjhhWr/pbYXYXo+0bRtnCUxwm26P7+Kw21AgEGA1t+3+f7J3JstxI1kW/ZW22iMNgANw
YFGbmCM4DyIpbWAUJWEeHfPX9wFT2SYFo0lTrWtRSstKSU4ADof7e/eeq9VwVheoFMeNj5cZImbr
Q6OlbrQkF5r7MFAhxbQC9C9nE/C1r5qGZaxLblJadpRtaXQ3rAJfqCVMFJel3DVm3H2XOpGBCBDt
M9Kx8m1fRIjFyPYun1VSGF8bmWN8Tr3I/6FAvz2MauivPKJBDq+/3cwd+47QdIquQ4Cua7JlfwV3
d7hS7oi/xk2gLjCHiaUbG7jsBl4xXMgMGVFFZeugSDFqiaSeRfSN/jVBbPaIpgHJDxRdNPU1XKlX
HgSh3/HSxD5ya+WD/zm2wuKhi7Js+0q9wEjgr6PJ0PlW69myr3SAG0MLGLFon4GVNXtXOvCugpbC
JQRNff68o7wa6+7Sa3Dt/A03qBGOw3QcugtDm/XWo1EMO8xRo0nb0UDLhTCcWp3bZQeqbpibKbI3
LcYWctTwJvAD6wOebAqjzp0xKP2pUd10E1mKR1fOxAG7dHFd9zNNAXk0w0YJ6XIDpIGFUWOieeUQ
kA3f94Sr8OhdwlXOi9nY34KF/uYRenRI0ti5y2iYnfkGbOHAoT6IIp5uCRIPd8tBFHtAqSUPvRd5
2xwayt3sJl/bM4XEbZp8GyAAWUJimXbKI0BMiyWIA4eSkjDwKxce0H/ccsO1qEfr2ciqdJ2XTHDH
n9H1zOglVNNmnVl6/j3mG743la7ucQZND0yk4NoJtQBUaevd5THxzw4AcnodZU7ahnCeGs6iaGNp
A9EdydmKKyr3W9PXhmtM26iUNb373pFc9Qlbpr+cmiY2VnPE3t/PKSEi9seo88MOlug3ulUal3aU
ki/jJywyVI8P9I7btWYP0ee8Ve6NV3TDRtNb+1G0o/XY1Zr1CINyvORL5WwQe2mrkQ7TSiutcCd9
nC1ToNW3RFfna7POszW5zsPl611vbHgjhXLdKzPRN3qeF3z4VHxGI81A1IpvPG/J8CmYiJvBLih+
VvjBco+GWDY2Yl1W2ASGWrd4iaU3HlpzTK98cq/3RhaOCcAoCC6TS6QkfFX8RpQaziY3Gi4JlPDX
WSoDbLtNV2F3zJMrIsqyvTMOzpNHwu22wQtvL9yIj6E+WTz+qZouElVMF0ZFfmLQe4LGwJiELIGG
cRtq0dc6GaGvhNW4NxEiXMl6mqj62i3qClUCih0K26aT2McYDkhlkEZCOLqHZKdNZExqTahtWmEm
+BIz+wzP53BtYCdBxV8OV3gT+XSjAm62sio0cj+nTCZEm9U+fhWDnHe+Td3eqwMotr6lygucnrmx
BH9R3LfFkG9aFhz2QLlUZ4ZlNldVMGHJbMmzC8J0uhh7UrAr/1UlCWZmQXNNu/8btEU/kR2zhTUn
7Vg29EDxalLAxLepIgxCbkczAJchXBAjTx/0lumUlRPbai8yvuqBNV5YGSmZVt8DfIBsTlhTVJB3
aBHfGCpezAgwIfKMfrqpEykPTm+Naxd+PdoD+hzUfTtYqZnndMOi6QpWulyJ6UbH7UetW6QkN/j8
yz02rAD3hB92522jxUuf33pNbGqOr2mq/J0yYmsb6WKCa+gjAqFGOV/RlQyRCVOZDy/hnADbaKPs
jqTyel24cb6eylDbcrZHpiVsnKEjIFoav3l1J7q5XpxE2lngd9dtOUrsYPTB+lj77laNBOqaP4kW
d04aj/45l5GsUr1g5bQDVW8gY/VrIlLNre9HHfZMvzmj2F23wF51uWaHGB7KiQZ5E47XZhkVJEE6
2YvMtRc12VeDqcTGHPps3rdVezeUJsLQ6L4vQvzVLq4qViu6tuBODJ2GY+BzvPMS90nLRQ0PUKAm
hfrkr9w+CBaJIHdCdxttT6y9RWgPIlQMJ9jJFq1Je8st84uhpNCbhwEEowAzcEQI7aIQXbulih9+
CdrOhh9ppBNqIhogSBmKuxKvOR6fQK+wvZvhWRg75TWxW+WTFmBC46uOi1Er25eyk86dNGprWKXY
r/ZtN040pz28wLhGd1pIA4jM1Mq6ttx6uo7RRNyVdJPWXdZKNEhDDSZ+cpz1gCN76eMD3qYUojdY
/qjG6Wl0CGJjxLHQVF+9esrOqM+L3ZSktlev+gJ9SrlxkbomZyr/yvbe+Ax8zr0wvLbRl7WJmKer
YhwipMv01/40FvtmDL1trIVq07gtr2KGPIXUbg0dc13zFFeDb3+1Qgv/RRdO45WFofImJyBy00Zj
/dmp2V9h2AjNyxEULJFXoTzQE8kf/VHqgPDzVjzo8xfSMTLkwqEb7oY8b8/CyLUuwkw1j3kDVm1o
qv6Q2kF3Rnc8eWmsGJpUaPBwi7bxrztZZt8yJfUlaijrGW1YYfKKlPJgJKZ1XjecwB2NA/Zi7HJE
6pEir3HUGuuTyGW2TnzbSDA+duFloY3fk066T2Yhc+xnkwtanshY1IPxMu6yEd53OPEpBCPVLlpt
6FfOWLOSxWm8i8suBS4ndR4vX9vDyKliVeBRRuntrgJVTisVZffEVz4NeUNBi1V+Qc0W/Kg3cig2
ysdaxEB8HfJuF7olYYFiUseu7DnZfZFkxXkzpea+rn22UlBoRj8AmZmUbksPTREju+O45Gjfx4Y2
EegQe2+0jvvQaPTEOXe65KWDzgWB539Khdac81FMr9kqxs+DIYpPcZVUT2VbDnJbavZoLCIfWPO2
K2y6UwlJwxymmvwGxGqf4/qIhi9J7dA6aeseG6nZfg96F9I6ld3zwXPzM8HO9iUvdaTjvlQrR0su
pwKHxUIJLd02iayWPY/qHI5VH8KwKptLCoHBZcxmiLBpvO4I5QjRwJPtL1Udm1jy5bcm12Ga8k3z
FrSUaJj5DTKGQrXXiU6RwQrSENi/Eny4pEE4S+bfIOUovlIG+2LFqv9ijcPd1IKx2UgHWZWW98Y2
roiTbUpN4BNt0ztItn2zDMOqvrX1FOGW7ygkia2+mboO+QMzfqe5hbUNQ0eem4lDU5jWotyHmcfZ
NDaDrziC1QJRVrEghy7YuMEg7znq8D0JvOzL3AFdlYH3aA2ISHTU9lv+FhM7WNXcWZH1TaZufdVR
1PoagBXYdEnvghkQY3zheVO/RQjIHStcd4sfhf645nFThC8fyVO27qMOGWLcRrywgJ1nl3q3HIEW
bGzN3jYiNK85gzywICdXQzk5h6py8Iv1jQPCIvefCy+Zlmndu5QJMZjPkTX5At83Fkpan7tB2dUS
m2h+m08qYIeLPTXLmn3jjtmNH2nOtaQXuXJix7xEtyZ+GAEymCLuy3XdRjQpkWBdYfsPzyF/o1Im
YxXV2jj5Wvs5RrXmh4naZiy36w7142pqBv3G91tnl/Zluyygkm/HTqR3DSvu7Jgq157X6ds6be+D
lnyGQerOQQQFMQJ9/QUuptzFyHeWPRvBAwuptqMP252zlZMELmXBpQqqhP0v6dotBASsak35VVQx
DE4XNTBHgCpMvhaEaeuoR1v/zO39eEW1pGeyKfO+hRCA8wqnjXcZpTUN+AKb+oCME2HapsopIy/d
sPYuCb5J7/OMLMHMHr1tGKnZRYSgwjEV1BTkyfrEVqWuRH3Qp/5F2pwacFplCA1tDklVB5aX5iyp
5J6x5jix00wzPvD+208ycx4ygqiAZxTBjl1huqLc8aKAHK4KfZyVyXxfx77fYR5+lhxBhng6t2sd
01bqUDmjTKS1rvFieWl/Zs0Bw04Fc0hP8voq8I1dB4/lR+gI+9rWNfNGDd6ParC0h4BX7xPANfL6
bFUgEfbqwV8psu2xptnFlsyUdm1GiKoRuGCPhBHyQT/zbRWU0q+FGn9uTpnAlX+vvwrlOeTDU3+V
FTQutN6fHFBHu8DhdOuRXvAfVO4FzRbQm5CujeMY26CudENzR4ZTjX1fmdWWE8Cwrnypf9BuMebK
8XHlXMwRHGzDQWDrx5XlafpZ1Hamtn9Rr0X60W+/DQ1Feo1E4wvqSvrWcSf9OfTnEyVy3v+gek9i
NP1oizgD0KK/391EimbqA73eCRlYN3ZbUNILqJO+X8w+1e7hEc41bJ3G52ul+5fOkgUqrLUyejCv
7ZAunlWL3jggwYrLD57fqXaEBV/DBaMEhlvOP8ovQyVDm3cjDtkdJgfkq33xBRzsl/cv56Mxjro7
kd2Y+C2ZI4bZXEwoWy03+5u99f92rU5ODuYfHE+moi3fTA4vdvvabOpdyQfsImh182AWOdXyro+e
Qo1WS5V3uBNraq2lCPQ9oa8ftXbevnrYU2zqqLx/HueXowaEZZet0AqwqIFRpyiDG2dJknp1nmpx
tcf1ka/+9L4yHhx5pBG2acjjdw8Eje6Opah2WY6KxHLGGxka8oP15O1cFPTQbcOmvgOH65Uj/8sE
8QKjQQSYVlCuYIqrEk1yUXaIFylovn85J0biIpCiWI5hC9j3v09FVKPRNI5usWNpI9VFU2dilPdl
HT+8P86Jx0ScFbISnhUr16vN6JcrQrqcCK+WxW6KoPekzxqJWnGSLyMoou+PZL5tNsIo+mWoo+WC
g6rjZw5DtZ1H9Q7Y+iLrIQotBq9D9tvl06fRpjFtUwStV5VFiU+vK/8zkG2N8AmzwZQv862pOEuT
wkUVLLOm5GC7cXloQFjsMXpOF37KZhB9PTG9ASVjNlfNOjVJSj7IDmhkX7SUscbWIRGSssMCu/30
wYUeIyRpONLKpLiPFQyyH1lsvz87Msg04eUt91SFzaOX5folIsVbRFPRczbNhJ4UNVedQmQdkmAj
E+yQONr3jkOwJ2SKpVEB4DDbTxm682UDdSgvMoCMLhBqTpeELlWg83uKDhE2cr+OhTnTBrtF3Zny
oMUaKRxWYZEYMvWrpnFN0FNJvOIcL88TCy1DjO56ObBer7wAd7wMwJTw9fG4W6bG5pE8n6/Sh978
/gw4MddMj2YkChbb5bs/d0t/mWs+eTa0YUfuS6yp84706z1PfdgFKOzw5fii370/4NvOL8YHSO9w
9JC9eMed36oAmYhqHa+U21h7ii6gl4Ma/oIom63v4kYIqb/cW5H3UQbQideXtjZmKBMtzlvxBZky
nRa2Tr7jrDs+dYRUfqko+t7bhhN//+OLpMvLasSBh/8d99BpjrDpHAkbIvaK0mhnUMmnHKxWWpzX
ewf4tbtUdNnGRW9SuXt/8BPXyb5KoEuzkUjQbP79kSIPx/Jd5OTiYTjYVj0gzSGg3xuDz/vTkQg9
532SKIyk90abx0FQBcBE053puo/jCNHeBNzNWyTEH09TthsIphBGIcN4k7Fezu6UoGtBexgtxD+H
6ouIr/redoiBcL79+WUBHGJ/Yxm0ko4/W0GUlrmVwhGhty52RHbmBY0ECrsKDqL64B6+fQEtndhG
PlyIGxnS/P1pVTSIQ6fNuDLNug+F9lhN7rd4EPdB73ywB5nf5d/3pwyFPsfh0ljz7aOhMhFGyOfp
xgqiwwUFE68A+i1T2AZT3uGkBtTy/p08PaLHVhT8Ky/d8efFKqULgSrZVUZ3SLzyuRiNezG7iBCn
EmjQmufvD/h27luzXlS87joYcb7bvyxntuLc0cDz2mlte0Csv7Os5Cpy9A+GebthnIdBIyOAO3Az
jzZSnauTYcVfDT3D1PCE5dYejJa2fv9i3i6VjALSgvxzU8dUfPQiA4Aa8jg2YGcKjrUc95Zp3P6Q
uXMTVw1dNXDvYiw+SEozsVC/mSXzwiFtPNGslkej+tnUeOhfkp1nwzbuUxhEy7xMyCLwaNVNOZ0s
BR/CXIBuS+AuT7hscqXLbTNUwT6lmbTp2RZNo13dem2SQFwo2RzM2wKE9/YZ2hjnk2f2zg68r/3B
T3/ywbjefPgx5qjwowdDXzJMKW+mO0pU+ToeCSjQBood7z+Yk7MMXaX0DKJk32w5M6viMxIU6S5v
ZIptr9vpiXHvyuajXcupRwFZGlUlobycYY9ms0wFibo5C9FQCrrZPplvjj5s3r+aUysQTnr0iC6H
cu7d76NMsW4OIA0SFAQKcJrkMzXY0JqVSr92sfXnu2jOjMhE+WTgJIWa+/twbhM5hFXzio6J/22+
d3Xk3GS1//j+VZ16eRDcO4TRIGQj8+X3YQaFS3sqeHnSyHavk9Ggzu7b36i4Fps6sN2XPi1jbN+O
+uBTdWrNm1Po2VcjGXxz6KF+oofC6hJyxs2rJteepxgOfPxQwsvkRfxgtFMTnmMPsTkWJ8s3asGU
a5ROqZJdGeAOzBxb3vRmrK3ev5mvmcjHnw5uojT5HAlkzkfrqteaA2S5Ktm5ba8/4L4vNhqK44UP
Yz6lQC/7T/CximVbNN1VNeYJyCEptqGLsGsaS9I4ghjvfoUzMO1dmrJtG390ujVO3nkAE/ObKcj5
OXrkNaYru88yvjaDRa2wqZ6NZraMCXhJkXQfW0iU8AVCKpk5RLak78CLe8WXkLbuBAv5UPa4Kaki
eVjSYCt6Idfx/o088a7R2GILKiU8aPaHv8/KFCtwTJBKsQM4/K2cjGajlyiq/JQm9vj8/lgnbofx
KjS0Z8Uqu+7fxzKNkTwat2Fr7xvfdAoOAG71ZzXCNJIeuYNohpsPdhgnXjrDoGzPjoYv1ht9c1en
I7niBZcX209hFGhLk9Y9xcx6WghzrD5VdV+taMl2uz+/VqCP3lyRYoN4vFJamofmyFXFjrPaJZli
ZMrU6Q2y5GARJsHD6MKlfn/EU0+SLRtlANPg9Huc6sO70jfKgtSv6WA+R6OjNQnu+aavvGyXORyk
3x/vxDeHC2QPJfiwsVk8egMJwbTCCIf4bugIZEmtul+ReFKtBLK4/2Qo8haE67BhdI8/oqW0oibL
OaIZXpFf22mFyUo2zlnUGsYHy9epOSp4oWYfwix5PpqjHbqYHObEnOHd3rdh8d22sRGBbiXws7qB
Fd388eGIBQzTBWHaJpL14xfQGCi4m2oimnmOttBlf1vjYi2pA3ww0ImFGW2xDnmZyjM2jvl5/rIT
LaceGYjPERDswyPJQFt3qu4/mBKCv+NoVf5tjKM5gZsLytecaYuq1yAlMIJfYSv71mzJFySjDIpH
oOMA62soiU4cfCr6WqIYoGHTuljTe6PV1nUe0e6Bbg0t3DDWYOnSXSSa+jBZVnhjesGwzEfSR/xS
z7eZQqHB6RawcBf4+9AmFWnSh+EatBaCvZge3u3kES+i54ZKNkWmaqAjle9xgBqCqxhX/AYFGlEz
SVRfhYMMt0atRjJa0Gl1IswuOozTOzfx7qMiUUvucALSl7rpIkQttEOhBN+2n8q134Y2isGkP8eo
S9JLhI/6/dt7am7yFZcG80TQpziam+T6VM3oMDfRCj5XQ/OM6f/KEtpGgNXztb74D1479txs9ijf
o4w/Gg8OWl4J+Ak7kh3nmtNlbyb7vsk/2Ly+LflZ1EpR+LM3oUznHQ1jDUmIqc/LdyhJb0rCXhAO
uS9V8olO1AVdaWDn5pegzj84MonT41Kl5Y5yuD7ekHllVmVlb1MTKcbpKRx0XEK1pd2gdtfTNY1z
zjiVnfnrhqSXVZqjFNLanIW8wiZvI/W1417bC52QJKOx8qWPOowJV24xftDG8uKvttFxUB/QAyVy
gkjZGA61F+imgeHfmYmllu5kV+DuYgsy8lQG65ifZ9Wk5XeE38Z17KbTthz6aoOji/8/m+wlmXvx
Wmrwgythf/QoTq3pDiwr6eFH4IHMt+yXNSLSlZ3lCRHYevMM1XHmapJ8acBvfH8mn1qLfhnneGPU
lR3JKB7wZNdO9WVOvWGZAaV/f5BTH0RHkBBvE3VhOMch8XpFDl0FK3RH04lMFRKbOIw/FkmIsFaN
H5jOTg5GvZIzi4e77fgQ4dQsRnnKu6KFTsZJdNp2VrlBBoagsok+uH2nFgLYYVQwZsvem81vOo7C
iZFSgIKsb0wlnSVQiEdIg9+bCPNW6HxwJ41T80JySuIAi5dKHvdpJlWm3F/2afGQhlg9TOPgTmBv
TGrxq0Jo4c4qq2YJAF7cRroPJSZA2RwUERj7wE02AITGTxJfABptP4D8+f6TPvnjsSBSRqJ+i4/n
92nbD77SkpBtTl+V34UXPIRmd5cKmsn/wThQ9FC74157szlQWJTDElHOjpNoSTWnec5HrV8Vbf3B
h/TUtpXiFO41ff5FHr2HoveQcSPA2jUIx0OFzq3Pb+rCPoD3ukqL6j5LvQ8KFacm8C9DHm9Y4wkm
emHr2U7rh23QFt89K0Xh6hzq4iMDsTg1fzmRzqn3ko7w8euPSdzCgy8zlhlz/NKE5Y8eCPYSRLe7
pHwbLLVSi5YZK/I6qmbBsWbM8qwa5Q9Q8UeLosqjX7lq15rIlrG2YDYIm/oumCDRuXmaApxW7maQ
vfvg2qyaCwcGKbAwNRDOMpc2C/OH3gN4kjD2wTQBhmwv8SSW64YtX+R2/SIbRbRus9G8K1Fe8rE3
7Q9m06m74M1OXUoczNvjBmwKM0LliJR3Uzntp2YyFo1uPdqlfUbN9LGJIA2/P31PPeLZnoFjUFJs
Pb7tJfy7sWIztIsqT0Mc0xI/OnH6XQlSaAizn4Wp74944hL5rs9uYw8jzpvTpeeMbgbaPN0lhH+t
w3p04CexQxvjQj3GtTHt0CF9fX/MV73G0SYU7Q3QRZNXlKPt0ak70KA8O26a7Zxs8pagNpw7KzRA
iIjRPoPHmj6UJoFcsYVk61Wn7IZN+pC15BGSZ+Bttb5HMvvBD3WiiIkqgarPvGrLN2ffYLAnMK68
0Wry0bMJWDeo0sRG+fUMuXeAOztkz6Z2uvaCOoSepRLk15axev8HESfWytkXjhzD4JhjHZf3daQR
TtZEGb7lWNAamcXNkUinGwSWuX3G45L7JkaSiM8CMExKEdnQMvqosIO66170+mYcff0ptNh4E2mn
P7EtJsK1Z0phm0g2KHvAu7Xh9xFFJkt2t7acOFwjGLRWNQkzu9Cp5HoIW7lygzOzSMQdBMrhitcW
Jwo5wNNj6LbeIdXlZ30mOb1/A05dPx0wPOhy7tAfF44otwHQagTXnybDXYg/lzRyghEiQws3fz4U
6ku0BrjR+WzMu6BfdlM0naoqmz9LXgFOt6zc2dIzlMnBC9Pg8f2xXp/b8ayfq7+C0yufwePjf645
adtnEYeDzvbdRUPDGMfHBOAQilC3yoksOjMK3b9uBvgQpqkFN2YDsN0Sabktc0J/X3+g/+IbPiTK
si/+5dnNzNqfLNoZivvvf+3zb9FzTuns+yvmdv/t3//iTZz/zD/JbtZf9C6BydNhpAoxC4x+8htc
F34D4hWHtvGc72byn/4JdjP+klR9ULdIStnoPZhsP6GyQv4l+Q/zH/PmyUjm2z9A3eu/Z9B7wW5w
Po4P+Wy0+CkwqOFanre8v09rlK9hNIVIKbDzDCtRpemzjVUxwGGjmyWJl2DEcHOMZP+2BDAuk8Ak
pjWsM5RMPix1A6/B2tej7puErHo1+UMOuDzGuhF4SYBKtdWy1VD4zSbLpxzHKgHO9KTMqzrqnWYR
d7W4APlKsymJM9yqyks5VjnunUR1c1sPbXeld89ZUXNEV2Hy0HR6/blICKZB25SSfJro5fAMzjUb
0PZr9JQ0EZj+iiMoAifRyIAoNqdKvhJFACdJ1BnI9tGs/TXJ6NE+gTWpKGZ4Leo59AibVvcncGG1
6WIJIOBELGtBbvAidmOxrTwSQBdD6IfnIpadu0ahE83SxtQhUIl0ipdSleXngjTly1aNBMyJVJ0F
nupfsJTkn4mGtVPS2ILxDF5adTPi2H42QxMweWwWC7KSN107+3hbkn+HyO1JIhuKa5s+HCUOdyBB
Z0RAQ2RPlFy6IhturJTQK7xxq1EVe+Ifsd5USbvs8pajrTVuezOS1/N30VzEInsZkAkuxJC51/RQ
wGkhkrkTI/GqkVJqTa6z2PlTaaSEloGaw7suV/E4tWcgySN/PymjOnQTiRkLPbDJr4zsSp67embm
y5oP9YPIyvautRLwvq1BwlmbdMZTJBP/qdHgunE+r9Z57mnn/QStnYhtB5vKSM4IouLzKTDaxxRl
TIVNPKvPe7+uzkLX7X54UFljsGaNlqxUaoVXnZWnmKEoM6/y3kPPzp6lu0i1ocbS6rTJczXG6TpQ
Q2VvgyiDSGTGvfqCLp/dZO9XFeobiiHXOV9JY8drFd2GZSIezSCLbrzJZjSaAPWdAVR+01ahdWbg
ddTpKBch0oAmgN5YlCuz6apdT3H2NgizdOlk8fBZy4P6gM/e+w5JVNYbR4cfuTAEiu11X1XerRc7
WLzIDCi0pzgQzjX5VNh1OtfX8oWnpuQFYQ69jzY0yZbVp2yFa9uA7mvk9zzH5BMU0/BaDrG6UMYY
HiQ5ud7aKHrQun5ugTEdcaAyXYt7V1Sz5K8pUIaAdT83isC6qDqrLdZQmsrLGM5PpBZ9xluOCQGv
EJz7AHf0LE5iC1gePBIt+EeRG8Hfqq0xdmB5eoOenue6jnFhYSri5HdZDyGXLZHu35L9JMZDaIck
FvbOteHGCbkkkm6yIEFhxEV4N5AM3K0VhuXPvg9z0Ej9Ll3JFuQzeVcmNrhM2Xdta2NcGCOjIQNp
rJZhDiGf1LThvIGnvLWq2F6oQs2JfCPoKr9LOJ4DYq15X259NehQCaFUfxr8XmTnTtvo8bWM1JR6
aJ+mVr+zJkUMNBoFJ7eJ76q0Xd/WD7hv+hstcb0EApjo96LuDrh/nIsCDtM2axJzlQ5zKYfzxE1V
uOa+jSE7FDQBcG+p9KavBVzcPh5wY8TRxhdeupYlD1IQGMVZJgLPFV5mMe9H1sw56BHRlHSHIv4m
oWFgkn619iLzswNrjLqUdsBDsGirQl8YLvR+4WgYwStlPYSgzPc+aOilwW3B7euqq0i3PnttGYAS
EFAg+067IPbJB7LIaj22+mNuNCUQOFDzyfitVnAUJu6h3+hncWQ249LwZm+iCj8NIszxcRUPxDzJ
PTCHF5snth4i8xZLsbfy2WgHor5y+ji+bqr8CSsXFuLxTEajvsn04q6LBJK9QTbLXh8hpvaknBBJ
BbQFZq27Q66ZsDfOMVx1qiLFLXQuMNyrQy3UGZk85Hh5LhkqogMirkZ0HZQz9JX0kvBQB/QRuLxy
+hwOSl14Q29tEF2RfNZaZw5P+1wPahNKa5vf6kNVbDU717ZEujObYKddjsRYckyCTIHn0S5vqnH0
biGowXGDsJreJNh5rhyv/iaLUD8kUWCcTZlX4ZaHirYs7cGYl9lKyxYu0+9e6qTUUH0tcG3Y5nqK
VLYKnGC8TAdcCGNn1J8mpFPkUAFBNb3oxq61ilcCjUPddeoyqwnSgJSb3XWp79/Ypg+tADjEAhso
MWk8Js/X+1ViivA5HfxnVGzVjVnK/tocvOEswuNy60Reftf2Bf454RwUZG8kf0wdPM2PtgqpcWr8
EsaDv0QWUKzMRL70Q6duXfKVl1M7jBsxTt6GYKf0B7md+SUZxKqd2vO+YWfJ8UJZl6wx2nncRHjv
qjCrbu00TFeVzJMzIQnYsX2z3HqDCl8sYDIACQqlljJpb5mE6aVHKMl1PDuInNyRa+LrCKMw9Gtp
KYvYrLjeZ5MQ1ynN35XWjuWVjYzO7moHvLCW3OGnIbKikRyosR1uFCVscjfYFiA3hj6LuVXmmzEy
ca3ZwtkaZQ2BunO8g636cZfjhN3jt4Ybn0zOXksN5+eB7L/75I/2yezYOCT/H3LrzT757DlXz+q3
bfLff+TnNtmz/kKNPIPJ3LmEYs7F6n+iF3TzL7SGdHxnhwU1S/pU/+yTqQb8sy8GlMbxDBULJ/NX
gcSf7IvZZP++L6Y9Off5aYdSOkeacFx3qPzGTeNgcM4ys3SNJQ1ZA3ef0Y89ea1KK3HsSQLF+eol
mSj8S8T2hs2nR9dYGaeGsvwdpT1dyw5KOXRE1to01Ja/c+HNOOwLO87jhIlN5WUSUoCWm6zuMqu/
bHRgHgM7VNlbS0tp+GSIXSFW+LyzKvWSBP1NY0UwIyBGyaWF42yTQrIaN6rCP2RO453mTpj+pyaM
ymUFClqvFiCh4mmLdZrsqhy/KnpgpfOSyFoBnUort62uCUxI7hBfe59VOglWJVW1c4JPF5ck3dUh
G+bRe9KEYxUMMTrTekCmFW1Ljiv5QowY3UURuVdJlTuk08kemmLRf4FlGl9PvLOboh3BlsL+nHf9
JrhyztEaZ9tCK7fJlKX7GKj3Fwc/2ZOpBNthkl+9F7AkL+kwXrp6HUdA87Nxzy/+Rdc64iqyI32H
q8NYY+71lgP7Ln6P8KqbNs5Dss7HUV81fdBFC7SCHr29tqhJnvMdpLGGTQ6lNmXXrdGqhyHM/D1S
5R5rrxxvPGWOB9r+8447Mgd8aL4W7cI0jr4xH+ybOCHwYN0VpnaFz9/dDrZT71QxGGxbm/w+nGSE
Eb8trovJkssORGmxRC1hXlh2Zz5qBVHKc+tJXBVW0K68MiW3DGTXvouM6YzkorFbRS2+VMPMYRGE
M6aXQIuN6IEupJRM0Z341fRFoyyzccEXbKHVTHtCFacXtuNYD5VR3k1YvS5brSrOCy1ogRZN2nhF
2qfTGfCVOwtfCn7cn/9kX2N14YVmz/jVZaRnkqZY1RGZXR9ilLh9fmDv0qfFSpIvHHsbVlk+HAbQ
1UXX01QnwDT0Df3lv5WH11LBByuqiXiGs/r/v6JePNdj+px/+3VN/fmHfq6p0ibNhrePxYtGNrIE
1rh/2JHkzXuoB1BVs8gZv5QehPeXpArgUk2cm4a/siMpPdDFoLGLzMuS1OH/KM/maIFleBZ0HTwb
UhAalMf1tFyHB5aFCcjFwCBF3edMd46SfPyUGQOEhsD+CMA4F+h+rakxoKTSQq2cn/ytlo10yhDi
vDPuhoFGm05iydJx+o+grXMz52gUvmMzPtCmKPumLN+gEe4qmyyaEVwwx++hukmKmqqstMq1rvXp
wlCIazi8aLeKJINPv8yBnwWe/8EVeU23rVH//pftHdem53YWJUNMWK7JTT5uwLftSErnKMm9Tp10
IBoynDapDCExYdE4H8ywPgyYhNUWG3ZmkN4lfCDGJdmOS4W++45zDGznwndBKfV8QxaBARHBnfpk
Q5oBvxf4REYWSapN3WIoYRMBMlIs7Th+xx//y96ZLUeKpFv3iSgDnPE2iFkRmlJSSnmDKZUpZnBn
dp7+X+h0m3VV/dZl5/6YdV90V2VKQQD+DXuvjaaheBR5UGwXaAiEdYJgin2CDdAOqldgRvoQjxX4
GplYdASNYqq6Qeq1HE01W0+4AeVtOyF3hbQ23/cCVB2BMPI9qCoCYrtm1J+MgZb9SBfxUg61PnT5
XJOQBTENMAgn9dTYNZ2wifCOHPE3KzH5g9OchZdOzcTKeV78GI5+1W/HTprNiUtVV1FiUVtEMWNf
cSAoiI9p+h3oPOgYT7rRwdafm/TOxRiOICSkrgVigb3fz9qHphwZLI2rRzzv/WDTeXiSFjFnSCCq
aSvirD0Xg60euqqPz5iB5oNHWMZJYXDaWaIfX3KzGl9Uvnjf+HboHdhs70iNKKPBm9WHpoeLEp+d
BwHF+hl2YPM2mKQ7QSCpzaO30v38qQU+0tfhxbM4p8jF1p8TeI5ns+WPaLPtvnv4wy/xnDgnkCHW
01AuLG36qb7MTRNeKoJ7+y3nHSMApwIesPEgiEOBLOWukzFTk3q0d42yi0fppUwnrASfsN20H07M
/0wKrIlRApYtORozGu7aGRTTJh7nwOj1wcuG8kSrTISgL6ctXUmZbjsBY3NnkvdzkjBx0EwQ5eA7
xnwwrLh4TDAP7r0gVbcO1quoDJPxN4ka5oZI3lW1Y5q8NKzmRzar8QWh5XIN1chfJVJ9kBVTc2vm
E4eTQTYmp3XkGYrc1MQcMZPyWTwnDzd9mFbRyPyAPJ60Hn9bRaYPHPgOOY58EzG2tQ15s3pLNJFT
bWHdcV3JKH33y9CNZqzfOVk4RlZDdojjR8+M1Qey9+VaT6l+thnhH2roJ1uIWsWekVr/iyxM6ylz
sIunK0rCMri2BFkAlBrWS73eoiUw9d+65dMvYBYY6C18E46Hhd2xuP9bjDFvZeLH57Ir3iajI1gl
a6u7JPg0h9AcN5lReTC848qmDHB/mCgjX2088y+Jzb0J8YHcRxsoy9ZxiNqK/fF37/jylrhubsqZ
uNE55YuC59TvY+XIO1kJ544MaPduIIbiqc46+Ta4Hlz+3uFu9aFzEWDT/BAY2W9ycHDf5kAHEi5U
ADCqnpr3JABAxGKKjExmecX268MFKQ8B8xvjcdayJmUwy5cr+rDuu0QA8KiJkgjIBOD6WL0F5KrM
q8ibzOzYN7YPBimeswOQpvYDOYO5ZhgXgw/YAKo80S7hBWCZj23dFuq29+BK2d+RfVmF9zY29dR/
ZO3gvGUAIYrkOIqldjB4Lka9w+I3DVetptg9T4kYnEeQUMCBnFk/WzDJosYbGItY7oxhkYy/Pfch
gU09csB605ATwwS3vh0aBq6AScKzYxT3vdkZD3S+j4Y73DqVrPagK9yHpUXF4vqzuG3d5FvsxrcV
iAVSmXiIEntJT5VdPHdIpndDibJ5cPTPjBjRnTMOv4rUhlBeJx96cFKg8ihRa2uQF+I6pl3pjnOE
NKP/ZYG72SVZR6CHivf4nC1gYUW4tXQLltEnzTsBKXPrLBCLjFCOOiI760xK/NkopNoSbggCXxLZ
cqI/wx9tzE4EzsHdVFmBGqoqy89ELkQfoF7yYTo6OqJgfNS1n+3syghvcuCBV8SBE8AMHliIU9ZN
RojDbiBh5bQg6ItsazRPJglix8qHayR7ETDXMeyINFceS8aSh9TEImkblXlDTE94HBLrm6jicI+s
o7uQhinKnc21/+jkNHmRy0Icz+TCd8jKsx+PkIT8Pb3bjxp86WUgvDEi4WvAPRpa6LNCqmA3JlZK
x92HaKbhkLgJZx4HeLAHZEPeLe3KLq899Ygw3IKoU3R7/GL0aWkBvz8M5h+BO2ItFcVMHvBKNiiL
4g1IQuNH3uzpQ5iNZJD6ngwY5wb4WkZHUCEKVKjku+2dwSURB4WTbW41LxFYbMxBu43kubo6ZSdv
poVcpMY27RNuDWaAacpT1e2ShKlYjdRjo3vLPUuvnZ+XSeRRu6LTkL8ep3IrRqM5W623vEviutD5
VMuTJF4GGlgXHufFDU/VEOv7rBDLdowHdS4q6USeXQKb8IpxU05sUTqGjQ9+h7iNbF38DkkLiMmU
wV4ZI+pOGKabicnr1glF/up77H4CU5NKG2ugMOFo7BUQRSy61QORy5zlsGlPWUb6+wbP5jYxkvAF
yKd1KDPueKI10lMwzvEaMORcGzRHpBtNxmNFxMitpRZ91kELYcdxQzCLymur306ibgEf+JdwprOJ
nGlqyRvBsYY9KC2uslusk0TnqaIs9dqbconF25D72tn4LnEyG5su5ibVSRFEuZWbvyUgk3LLSMkj
bSQ3R9K8VBjJymgPAz30G7kqWYYEJcsvDiuBj0rknnm1OmdE+2sxMnffQJGYQKsLZr5mU+N/Mea6
2PupO/5scquJ+nJa6wKpHiB+lFsPcyx5cGPF2GpeHcOAkXKf269KTzj320uouoakbwae5WZqXFLu
6iDuohzo2p22Sb1b0lr+pEM1uqiVuli/G3PzVSLlueAcwtEBLbWrL6Edu7ycZf8ryOJJotJkeb83
i44DB9+x/mSDH6BcNuJHid6RZ6CgTPBjU8bbxB0oiNKsilQq3bsF+t2jwXScj5sJsqKKrIBwxKQn
qijyUiKQZvlzJjBB7lJsHjDHOJ0xZKvz/xRfKrOtJ1hV3S8JPzjY2i6xShurWnUs85pvSRnqfZuJ
tOsgfykFV290im1OpN9JMLy/lIDnjo7ZTduqoR3t25wlXyVtUF+p23G4h1VjPNaE5bxktkjukopK
o3Y9eZssX79FqF6FsVIV2Q2tL+Wl0p896OJNFvqUJ6FS1j2vwfqXkB77dyNBZ9FRJp4JZa/iTdXy
66zIu0NqGcMLcVh8d+wTgjoyq1YfksrTNyaTlF06jNM2WXE0DcXWG311FXV6LX/hlrz5/VxCQ+Qj
ICnB8lXN+hPEQXZghtzs6jwLN1Y2AdQkKZY0kEaKEm43445/aCKsvzcROIuC1ekI3HKVC/95K+wO
BiZODRZjhvkTseSU+U5VTJkaTc6IzPDihqnwP0dbj0dYqcnesOx3bPnfQTIK5MUcU4Y7JdsBL/Z1
bG3nbZTw1LJFFDemWYkfNu6+GXiIrMcb0GXBKfasYms6GWjPmQtZ8RUekxDGrmmlsILmijqhrMIL
B/eyJ4NT3+BYmLatwrHbrN+sDbP4cUxa75vh+vqzIvEclnrtkKclOu5tYOjUG1NTnoaBGyeNG2ol
mhTqwaTgX2JQw1ffgiEFbbTWSHO9qIcapy7fJXSlrQOW9TWsGNw5ZoYMSRRyR+wSEzxW7Jd8UJz9
Fq0eKM3xhZh1YmnAuZQ/WjEU3rkvF3+8qHhKuEgZmzBj7vp55yYFyZiDFHEJtkvkA6Q6eM4G83A+
UG2/NDGc3k4JCHG+t5TJid13to2X9f+IKaTirQlfx4viDIvfiBMqsG/QtHZAowRZps5ELUXmOtHg
cZzyiRNyrnYzNz/o25kSyp+hnhqa4oo2xoRjQwHYBU733YQ4F4EWc6PONZo2qkKJS7OlYA5SR/7U
+VDs26zPDsPIqWYW08LuuKeQS2tveOmz8offUrcvsyXfgqkUGUFjxJd8XbtwJVidl2VVHbmp8QjO
S5zYttIsizE7xDj46ihwe2Lv3aB5n7XRvDuavXRvl2zL65nvU/RBe08HEFy0MlkhTTRbXll33+uK
GnIGYnYy57750a81dZ2GZZRWPQoGZylnJA1EVu4tUjVPADipFmtfEFye+Q+VaIcX0yK5x67t5t3t
2uwAckXfSIuuZUsmEE9eT+bWd9YVEzVgKW97VABrWvrcvPdxjQQv6KlIY8eBo9S4C89IZw6gzGeL
f4g4QH0QmMRVqQgbBUnbbQgfXI4op9VZScU0xEZCuZnD9dWVsijcu9pf81lt9Yr5NbhYE+0tjOjw
krDjOGfaJ/CPKecBlak+1CaZpE1Qjy+IX2mrJp0dgrXzRpsqb6uCvtzPaE+QoS6fAU/pssuCRb4V
XnU/zr782Q89bY7pJndW7UAxnNJ1tcJfWhtrwbL+1rMTMjwIsAy1UYPS86LFRKbi+qjOdLIcJMVE
/h25va6aIc23VQ7FDZXmbhgzOtK1achmk8YpnR31YJJ+Dfc05wj4egeSXFkTTpCwTCzwEaVrsUE/
LSCTMdDi0xE8frMkHuF4I1ONr9vQnml9ub2BTs9EaF+dhE5TdFo9fHXateD2QTzBnh546IZ9enmC
F5oxTuUgK1G2XobYQ5K/tmVGYnAZMOIyYnd44L8GKEsGPLmQNOKEf322waKvC48bSzY27jHWAGYQ
QcLUAEVK8agkppcNhUe4UrZdvItQctUAWDSte77iZDLL0wxMeoNS26Z5XngEkdEz+og9osiSgjhy
ORhELObcgvCLrWlXgwmPCKGAPF5ATuagMVsGDshoUfkxiYHbql4X4TCgcPtJfZCSQQKV2evnGuLh
Jrbb8mSsTS0ME15rdFLx+atDZqJvboIOindULxl/U2XTZKuFV5yw+PFffbMPqPg6F8zM6iZ1ToZp
/DbNZS1T/FUaVFYcUqrDUvM/tyYSl710aMnrxoofTausL7Kxi60iwOES9B0JUxazC9LrmGVg2Kwv
ExABxB1UuFFi9rzcDbv71ZSYKOekDbatqcLL5POebaaUS5i6qv0wwcdDcysGC0JKRQvtURb1Oc/0
ej+rdn0Ng6robsquZBIUZj61RtHyx8liRofDpuYpXaeNk8rXU4DC+IcVcEs4y9D9GlTcvKdWnNz5
g6Rdb9f7B2YlEErmP6XHx4nXqcNXWREgD9oD+Sweq2mke3c4Jtkb2U9fZ4PVM3obgiS983nl0+8z
vBpZB9/5ieFyVExhcFEhV1jpwn6aWnIKQ1KwIg+JA5N9vvjUy60n6YGlzQa+yJDB3EmXZn0hXqC+
uCRznqr1O0ipl946bG5y3y4NRdFk8TZzkvFFT5Qnkiyxi9mU9pNR1bxseY+9AiWWb0AT4jN9oxd9
jWLGnmFRANn3nLBM2eYzg4yOt4mMKC8L4kNn7pBmJtGG5eum4sEGJyiYPjUlD4U2x+ZHaRsMBidm
dSKLKdF6ChZB3sfWZqhHiud683y9Zmefq0HHrm9aNiLf6aY00g97FWtV3Uz334r5vqVZfmbftByN
ZaJVHLuRi2nyektHnqMiFJxa3iiprQX3moEYZSb994ddzlV2qh1XnSdZMrxZX5UgOuxdS57zHQEO
ZD54awQlKWA7oULOh5RWlWeyZSqIDV9fMevDllD+8Nuv4/nQ86tvasU6PspCij8WOPInlGBKDoXC
5ES2JcWjzNI72O4/xtHlqi1EuJ7sIOVRGQuuQV+aVKEEHb9SleQOmggNyBRIZEjdMrjZ7QSL3NpM
inKiaWIRhXokX3DgC9cBxITCZpT59T+/Hkxd5RwxhjW0Hy6psY+SQ+VUL/18TyCB3pPblx2aqeGB
zhx1TnyXlwzq0uSO1Rii+sXNlqv0FirhyddkgxSfg7M03i7taBy+BnR+BzSTcIPHaa0CNKIKYGL2
Mhxo4PjE08kvc5CCgfO2tEnKFpQJeE8juxtcnx9WNENw7uP+n5xtfw1xY8pt4R1Hh41aUhBJta4a
/kOaOzQCNRPQiqOTMRyO4OO5d77X27ukh3euHV5taUjx3SfmfO8nMIHIOQaFS3GQxDW9Sy3UuROj
vqknqV6HwXHuyC2Yn3klLPv/Xlv/TdC+/rIrKJAtNegAlJd//mWRFhf+aIjuaGTEro5d7X3Tkl7M
tPL0zhhoTJhWUIhaI00ROHtKK0YZ54Ka5z2XjFa/vuz//kt9mQX+vLUQLkYgzEcYkZy/GZ4SwJZo
UpLuWFVCcaOFYqU2DupCet94aNsh3dK9LzuNCnqNgGfIlku+XT9dOzlwBI9k/KkzvC/eBrHb/JJZ
6T8EXgKOsycqJDbahm1i7/4jOuDvnQoqja9v32dbz7Dkz5eztcOiSRKjPyaGrc4xPpd1ck/1qNjd
kl2wbiKECrYj78QfneYUqaeavnDo3X/tXv5P/PFPq0oLstB/3HB/E39cUY+u/8Hu+adt5f/8uX8L
pYM/YBfARLLBFSGU8vgr/7WtDK0/2A+64k97StTS/5Z+mH9gSSG5JGThhRDD/V9Jov/q1gp5EPCL
Wz7WDvxaf/WMD2aPg2RME0bh9XL9at8F1lAUBJDrra2ZpO0HqmT1ISHR/wORxQv+thWFisNJwoMo
RAif5y+3MxEp5FkD3DhVOQsNxMvUonZnD9FS0WS5PYVDr9YFnW31nI0WtYJDICcrr8Zp9DOCFPZp
DUUoK7wCSMEmtDQlehHbHJ8ZB5UPeuKN7Ix2sZkLZcNyE2e+HnZ1J21KvZ4tik8byG/J8EWn+Hlv
vzYjzGXEECkYhfs2FeRt5I7wHtUa79PmHIjBNM33X7uArwUM88343LisRlB6Udnxa/JOAzAn3wHl
LXvWwpx9jBlOetDIq73UMWp5LImsHdDdxstgnIM5Rc+nDb6lX2MiEm8/hb5hv5hjnGS7akhm5HFk
CLhvqRlqyOyUUH160/SiCASqViWne4UckICqBOL77QKpnJhRYC3JIxBTb8+UplIOLvbKDPZ2N/bm
lhxZASjbWf/NhD7Bf53bgugJT5nkajMVQLlGiE8RxVbnJ1trChYRRKwVLLhem8qLTd8DZJ78rBad
3I2+bnYNJTI6eF+jOrYSFbwitOuNXW1N845XEWNzbwFaMc0bBhKc3bkab0njNpHCmok4Ii23HlhD
NtuJlIZXuBP4AspD1VbrrDEoD0G4l+0Y5DjuPHXTVtNeOUregym2uWGkzzxsgKRv6DB+GIl7eC6I
KX81yYsAzlWnkcBRS0514f426jl/DJhKbCiBFBxyI9yntEjAnEPxxtiQxBNoJtvMb+sTWsP+7MTQ
gyyrfEQZUzyMc1/XG98AB1dPii3ehAqxqU9zqJ/oLGBYGGHY/XTXdqCixd/OlIunAgvTzpz66saH
rs220akiqOrlczPShyjDSg/J3IQfHqNuNIjAD+9Hw1PvyYjXHZeqNm9DHaDLJ+jDONNE86e0WZsP
7TqQQ3O9vAi7fMoNiaKWEymJmD19ZLCDX7yAh8qZhLNn1OickqIaUeWQ/Yru9zcp28H7MhfWLpRo
MFkQJv17u3S7fMlguaaE2hZyuhmd1L0ri67cC2K+2JsmcXNsE6c4NfiYr2wAAOvbA0Nrv2YhYU/9
KcwLmiJHh9HgNN1TNzTJnZjc5liIStywOZxvS8ziR/KIXTz0qXXLiCV/VXWav/GNlod5HsTN0Czl
cahr5k/YPT9k0gNGj9HFnrNWLPfK7cdL1XP0VRk96yaWgf+o874qN4aBacBgQ32FXCwQvJseuwse
iWM5t7GxkUGWnWtGm3dDMIBtbEX2fe5MqmK8AuZVFmN27dNCPZG6Nn3DJybPoiAfwWDL/oY5OH9p
R6+/IUECG9k8+DkAa3+x91aVVveuGcYnDKPTAbtZsjXzMNi3anQ/kXmqA1hU/X3OaauSkGCGQlZM
gOIrRTHzq4HsuCl0ZzjuyckO5Y0mrDGKQ7EhC2j4NdSTTfw3QCszAYlMqkODuLSjfslqf2+nkPiX
2VM/qbaGG1NNGco5nUVe7UwPeeOyPIA8cWzaQTzEetKvQ5MtH25sjQ9ckPhubuTwHW2YFY3OVG15
TvptU805GxYnP0gn90jsGJriGehBeeBr52kxVre/X8hfTJf7w8JAt4N6SfA3LjUy2au2J+VrrG1A
82SC5faY0oS79udip6HBYCAeuJU1KTHUggwVxmsaV/dy7MNbu7GTV3Q85YH1jdozDzXGDa2QefWy
wryGfRHeGk1lPxDtN3BQAFW7NI1VHsJyvivVIBmw86CehyFxtgvTHLD2Uz+fMgKiz7JhXJgEHtEG
A8lcgyJjxBe8auqyvjE8Nz/bpId9I7fctSOzNwDyK09/pPkEfZ6ErTbbDF2eHzvdqZ8FQt/ZzEl5
mYtwF0Np+5HTK57Kzi0PCqzIk9Xm3WMCdPwW/TksayapzPPQez939RDezq6/XMdOGu+yGUxONGt6
LLNGJRueHv9ST5P+xYAQtneRKJcMEHc6G0k1HuLOAvvRt+LM1LBGJ6fUy+S63f3s6nhL2bocRDan
D5xs8s0Lh+Zn0Nf+p86Kvtx4fZfAfUh+TaTgra0qOKpeghcJhhsN9X4Lh6KPyJMjdyc0OuMUAGMn
d7wrx3eymix8PvYkmBYsRn5eqXEv4Fr6XePL5oSNmYx218uLTxIoEDKHo/oe4DHwdk6TVD9FkgSH
Ws3xdbDi4GYMAOGjI29PaRgcod4xeqA35jwpnb687cEx3+VB1V0Li9CsAVARLDyjv8a9QcCYU7i3
U+mPGwNX0HfsxN7Gljivow6pBXIVMQ0PMumCy0JQ1W+T9JZhEw4Zx3XINSa8rDee0tRF1JnBF5sL
wHwbtvbkxPDShr21LDFUDTNomGvU4hZiAAxUqNrbIig1xqnYDQ4+qYHrPTFlIrJDhO+VhSBybvzg
vTAX0AqZeHeGrrkaSe1+CxIMNpY5C3TnocNrUNv3eJ3NiG7tun6BZ0VE62HpUeDrOltlK/Z1CHqy
BG1Sdtq0RneZ2OLZD3pSWXwSrZVq3IPh5TXcLY80SG91cRSktBmNkCe9mN0D23DngxkNmUE4JJbt
MI3hN8vN5b5Wnb030xaYa5ynTlQR9XRfxIpu3R7nkJBBlt9opRpsDuISxO20moEc86pM69qz/TqH
vR3srMxQv1OSq3rm7VN4jHvlH32i0iB/djqqY93dy6WU4OSkOrLdso8ze/WIztyIpmkJl0PMAOo7
tYD9NONK08RrsIQhSXV4q9Bt7WNSZlxV+jsjDx+EzWSbz2di96BO6Y42rzzCSPs8ZQzSGievtjuy
uByvjTm01fKRybZSm4594Nke5q3bcLxB42EckzjdvsoL9z6mNt1bAJxuBsZg+X4KWj/fCqiieTTz
Er4V9JLbTrUvmFCru3EaHRnFi+kcOO/qPd4jlpA94wgjs/yjzaTozrcYjDLVzd4o0LwuQjZCAaLj
4yDzmKimAimFbyGHObllghGqMcp7xhgjEmVnxgLkm2Q61mOnQRgW06PXtoRcLBh3PFPXdz2TFp4T
4bXcHKH/i8I33cHWtDEO8loByUExTU7VXLNbMKdvo1kmz2bRlM+OTQ1IpsPiYGpQ6k4WfXizFCuy
OXHjE5KEodokZk4Xj8JPsfMf41M2jO2ynRORn/M+DBUOJCsbKDHD5lgpO+l+iyr3sXHBidEWIhl6
00s80vXPrDPId0jVg2d04uo4rb4NVWttQ7wnUZ+o+ZzWiGwTCv/XxQtucsd7SjxWYIOd3daZS+aS
cM5V4Vs/EBvaG+SjZUS+FboU8iBeLZycJw1MFLVuKrZqYNQlxfLepshKfOMhkJA8QgZp23KxGJkq
hqVNX08HE693VKBGm2kRbrLSqnYo45/5WnBL6sCJQpL9tqKkuCHMhvFtJq6oVt5YhLO+HQmySIqi
3BZF0LI8L7kw1RSyzGDAFwghN43v1OckVWJfD8E+TWp9RsF4l2LufhFtXRZRMGNpMRGh7y20q9Fi
zEsUF4PYLo1GRg5A3MeguFmyXLxpsKaHnHRA9lXBIYxd/2720iKSXl1cUaUV7wYEDtt346eq77yj
NGJ9du3OJGCozLZjgux+CVqOOYyxp0z6wV53/RLJjhmNdtD7y6ZPbmuj5GQvcn3nmnw42D7EB5IL
6ynZ9pEnWdf8R8f8/xF2/r0txSAsEHXiIfb+TolJY0eX2RBkpxzoFSXcjP6rXQLe0i7bxW9k6dGR
UkthfxsYK/73H05vLf80HqIbR1SKGDjAN2P9dWa1ZHXr6UVmJ2tG8bfk4JsY8KR3KKqKx//+o/6m
0nXpZwL+u3a/ge/+ZTyWqSz30OLzo9gG1jueEQLHap00v//7z/mbxT7kBzlANBk4IO30/sr4KRqN
FbHwk9MgY71PgUWdvOFLfZf1rA0KJGRjmJoZX3r1Lv2EjnpaGN6DSV2b6zjlt/v6lf5vfvSP8yP8
7//x7f19ftTUwHfe/zw7+voz/5odMTj648v3Ay/XNK3QxSL0b/eQ5aGCR/stPLBgvPeYqPzbPRT+
Aa+ff4Tx3XUZevLM/Wuk5Dh/YGTBgo8A3l3D7a3/jZuIzKs/P0Cm6+FpXylvAtgyNqb1rv+PCbVc
mgIFpmZbIWVoRaVRIRubUlaqrvIKffQBZxBYWCQM6TeZkFfUxUZUZkn6q4tJlWOCgQ8pCsxUzaj9
VIXWsPO9j4X5544lzhptXEl9aVTRlt+zxVGXplvMX7lIZjQjAzknGxPS+ipkxbhyIJepefZ7nHSn
ToXjeJ5F1k7XlrfkLiX2mQ7aLgkh0x66KR7VyBrifuNq4wLEQ2boxQPEY3m92Ful2x/jYJMla6fs
qcaZlkxDNvpNhM1A1vkKRwkDHpod0x83jRwvza7QiaYThaZ/NAAknsamyuWGNm1+GJVxsPPB3jZ2
iJhkhvJqYO6PqoRIx43WS/59djsZiYE0qEHPlzS0aMdxF7aWtUU5HvfboSlzGi1ftC61XL3qOcBp
dRwccbHgf0f6ix5rGaz7zM7cM1vN7h7pYO7dTJbvfnBFWDt3YR63T4Bbl1PfYsRybvw2mYtdjsdc
OhOSpkMbyBTl4WxPV/Y36NZKOCTassx679HrjYjRnTTtxREoK+m/aDILOQ7+DQOgGks76juAowyB
0mLI03EDKgb1LVGehRWO1N1ARyEkzBbs7uJEsoXvS9YtnKyjsK3HriP7uETqOP8KCfjOP6EUdJ/A
XOg6bu0a9pv1za9ia+/h1WyQEvqx/yrRrK19J4lXSPqIt60HyYVqixhITUn4eubATdi1ZfFgWU27
MzOCL4ngmu46cOcbM8tybsu5aLZaFpCdmP2c8Xc36BDNZY8QrDgU6OStTM6PvTc4CFWM0t5mITU5
GY99cg6C3sfYJrjakU0o5ZFJzUheBzifE4yodk+Z2703tiw/7F5ZgkOWje6mVeuAJ4iDcpOw6hYw
wUOLnU0/bRyRlNQUWW4dnXr4kebO2EdL47j3K7bVpT6QCcRBx7xJcqfaV7NrHEZBPKTPj7syXpMH
a7HmhxrBMeSbIsgJLox9aAzBNGwK2yxuqBHVtJkYEW6DwqtPI+KI26yP8dYi23MuXpAv55oydwPu
msZnSN/5HXOmnJW1H8rk1ks7Ct/B8S6m73ev6VzEP9I2DUFYLuNB5sLZFeSPngfLl895t9wip3Uf
1jv7jkEjlmdTED+prOuCXnHDKqMn35k8sYC0VlKOhTQ/G4C8d41bJK+JzJabVjmwK8eiPHalt7ro
veSQ52NxiLMOeqeS3S97gtSJYjT8ljgGc00R2BeWUy+Lbd7VIleRb8TepVhGl9Mec3yed9N3V7F7
3+REB17mTNhvaL6ZtQx6aTgfSxMTMrIlBjSd+DT8gDVhz9XYFwsRtkNffuDxDKM2Y7S2+ntVuClG
z/kmxUTMve2PzYcT6OTJzZ3EZIDduj/7ipSJOuw6/g5pnJiL2bimpbFBSlGeJtNrzjA80CTleY5e
P8cjVyfBET8eigzEZcEGE0W+792EpGJ/6LMbK0yHJ/q8Iiq5Pk9AIh64rZvHwNa4BVIjcos4PBps
LAmyZuN7DloDNQ6bpeAXCZnpfVgG2XGMm/qXn5kh+ab4Yjaywu+0042DEte0ULPlj33VBictxnlb
cHd/s5BIVnRi2qaFF3E09ctzYBJOrGc38Te+r7LbvBx5sw+m+EFKKtiydDC282Q5+XY2PffNDaZw
Kyy5PDYzEcyO307fixQYmivy5mqXkvyI0Z8/UJmOu9EW/WeCZpbiXaEdLtPuMDu2eLXrBVCLlYV3
I/K3e00w294qk/7eblt5A3rU/Ea/tRQMdchS2DdNl+wIczPfAyBjW4cUmUeUEk0faRqJKM0HY+PQ
lHwSaW8e67H23wQoKYMcjTbcLbxyorTXo7dB+jBt64Y3fzCt5tNg9K62WhJC7Q1Bp2XZz4liqhdM
bnpuwlbeKxIDt70yR65smOrfpIj230DDqjxSdoyDxNSQF1JrzWSclbexWJqeFlLhh8ix1W88Q2JH
yRoid7GbK3zuPELB1F6WupkeSkJ7Gd6EVzWCkd74OktjxAlGcU1NS20tW+U/ym5EvQEf8OrLQH8z
J6tjPoUB5tFBZHwcAyZmzRxnTERiZ009zcy7dpTF94rZyXe0Qe19jXgfyUWc3QywZjYpG4NnqyXu
F8p5fiBAXO9ijZuY/qZLtw6flsEIrWh/qsuFKODEH54d/H16kzldvTUYzERg6FDamKl5r9hCiJ0f
xM25Ju6tj6pi0mTH66rAa4vCIYBfy3Xsp1dn9qFJ/D/2zmM7bizNuq/S659DCxceg54ACEcGPUWK
mmBRJuHdhbvA0/8bzFRVSqpWVs5zVF3VIiMYAVx85px9ptQ5LKqie867eL0QmXA+k0Cha2ET19lt
MmCbdXLdf15Wuz/q1sqD3sOstwnV+mzPcNE5IwdtH/GNSESMtkQ9n8ReZpGqq85QKuSeET4Yjn+K
4//KB2qycPpVcXz9dXr98n1t/PuPfKuNBbUxdkT8n56DJOhPLlA6n38XwwbFMP5Il/N5Q/xtBvxv
+1V8pFSwyIE9ymfsf87fKYbZ5/5QDDvsVnkZtqwmWL+fWrx0sNQEKtG8cuPeRZJk2ZySQpPIrkvs
D0Aluki1zQWNaCeCRnTTTl9hr85wAA+j0Xdn1M+j8YHs3eK6cUuZXnaKJ3potLA3opGb6wlkyPRh
KCoZDQlMqLRdDBX6k0e4cAv0KGImUE+HEXjP/Yg6+KWe4ulmlX5MOicZsDz3V+muQccsb59VVnF0
MVSEI96rMXDhLR0cn7cYtMA0CsyqDSe0tiBRspbFJX9AsW880nquJGsWuf4Jcxeq7XIpii8do7ab
LLGnipVLpW4IjGfQ3OFz0iOsQRvmGrqTe2oWaVFSCUgph55qXEfLaLfGpiBbWO7ZhK4nZGrmUVUt
imUpb7AhTHvFutd0yDjuDK9t7nwrT+5X3Oo3XcnoInfLIZpTtNFhjJnykM/SPVZ+WXdhbjX4jjKF
XkiS7sxJY0k1tFdmYbwf2nZw15YNpN4M3TEWdjYeqthITPfACGJLNJOZvuqRyitZ62FRe+radNcK
yjJHv3ayetGMPCQJT2XNAfCMQGxEp6VWque+La3evJ/QzQWSHoqxkJ3Fk7ouQBX5W2x9Jn2mLoms
9i0LO9BkJrvnJIRmksfUR4u252ks+jm0YQFS7VMauMO5x+ILy4XFLQF0eANEfGnItIzJmeun7cJB
R7YyQGQVpvKZgVzlIFS7GIZxbIlvQ041mDKQfT/Na4X3xJh78SGhkTHWF5VBB5ZfkFgOVRXYxbqW
8d0/B95/eeD5vzS+X3+d/+f4WrXM3yRDn3+D94wNA8n/8NoP//v/NFd/5yCkEIQMvKH1/pgHuMY7
G4UH5gaGaMwQtuPw2zzAfkf2F3ELtP1vnBG6+G/zAOMdhDz+ORozseUl/S3r+48zLlQl/CJK3e1I
9bDBfz8NsDRHoQPg8iu2htgEpBcYTvL0p6fAfxgY8pD4bmb39iJEtWLx5+/8CcQ+NJPW+j5ab9ZF
XaDcfo1Sd3JDVqXD74Or/zN99EfP+/ZSUN+Z1lk6LNofic1NRfEFymwlPCIbgqzM6JgMMwbgQcFb
QlM6EuaqYWKxLbTQSCJ+/Zf+9HFuAAPwp67YEjNQDn3/cRolY9DZMViZ1POjUbnPHnudX7/E9iv+
PAD1tpewmS75zJHAwfxAoZVSg5wVi+5oi/lR2eYT3SdxNAa5xqj5uUr/xXH4D98cKV8/vxx+Skg4
GBhpiPRtnPSncZGZdCyN6HmOaBOQahaVaJGGw5Ip7Li6KCfrvRXPHerypBt0iv8mr4Ku9FcZVIXk
mdc3MQWtkQgf2hPDg3EGfhJOzeR3Ib6yBPQy4406MDrRbl2GH8jcx1mYV+YnSHmHZOoHNpMe6h05
6MbT0vvtJiAZq6hALHmddiN9SFqY0agv6mlhUnKmwZzhKxou2c8WKSWPDuuaZ6wJDe4rVAZxgkfN
HhBHOzbDr8mSFWZARukjFs8gqfw4YrUKo0q3u/00ruuJzdPVmGsTiQjVb5Zb3jeZ9ZnByt0g2QfM
pOhetLr6mLCO5yVyB8cRvxMX3hoV7dodis5mgV0Loqjz+Svddndy0ViSxqExkWC6YRnYlOZmdq6V
MrctrhNf8Ex7cvGfX+RpNoSU1+0GkftKX+A/qrrPokXkOVKiLnkcHAuLvleEuj8lkdskrDvmeCJX
tYx3ua7SK6Yw4ZjGgQ5NYb600RwVO1ofIGvJvCQ+upp8VPuscf3Hzp28KKX4Cg0vc8/tW8B43QoG
OLWS0nlv1a72nBaTvEFOz+/xlDIeSaBiUiSz8UgViSxcygHWIfyJy7jq5FWD3RMbC95zVi5cIlWX
33YNyul8rsVuWkZjP2Wl/mQ1GPaWiQmVlmbG+AL7sxMJ+Bxx1sgKfcxSGsg6a0QQs9eM0g6ecTBn
wj+tmozPGIvkXbvS7FSyPwP0M19YCA6P1miSlqSl4koo0yGml2sBy3S2H4daHerKfElp8RkzZmOy
z11THa0+8+90J8kPGNDk1Zpoze1YLpHRj8sVKiDYkLBy9L2cMc81jp3AoHRa3JbKxvziW+Mly0v8
CJDkbjO338cx0mD29i5cSJGgOyjSEz/2rKbkwqrirc6c7/BJEi9FEaZNOYS4Ckcam6EiyNKJdnpM
5jstnsXBMIENCb0tj0tFtqjd9t3lAoMXwWliNzfVwnODK5phc6DFiX5nxt3y2rN/DUtumvOU5Nrl
kDjGwVR+ilMJHl2UE9CwZ5PsRp3e8WpJYTbcLwh0wgZr2T5u0+VCaV784hUDoRReAj89judLxbgj
dJuRZg1V26GfdFyIRaUFhqWji4hHFeJxpPF1yvkCNYk4KwJ59nHu+GjJm5w+Ee+N46avZmw++2Jd
EEsP+n2mFv1oTCberfhMMnDyUDQ6/EqXT9okN3ewGpbuMYTP1dKGKMbnEHWe2ETX+ZXWd+0dbWUZ
1d36JcOf7AWpXiyBFyfTKYZBBH1av1PLuB8UwfTE1uZB47cwl9CGs913uvdSaG7F8TRrMJZlsx/Z
6L/2Ez6BJm0dmJH7rk3MR9tu/bAWBUK02p3621FrzVfObe+UVbN5wDPIvnJi6JymI9+QDfDxOi6L
AYFQDBajEV555kBa2Wj51MWG/SKbuQ/gqmjBTDcdlm1sMF9IzzTxh5QHQFBNDCqDZLP6lMA4r/vK
O5WT8b6okCUZsajDhA2uJT0mH0yao7jQvKskLkj/8PNw7fqdOxrW66hjnssBgN20Vl/5gV1y73Ek
ODfZkquz7+BLciqDiHUvKyLCaOYPjZpNhn6SV9bZ+i9h6XADgZ1V29RXK5/F3Ok05Kt1Z665wy6W
HYMoq7wPiOA0D26ZDjuHFTn3iaO+0DBoG6aLlh4qQ8EC/8lOSU5ZfAQeYSfLEbcXRv+cDd2u9Dqa
rtW1zjj45i4w23W6qXpPOyKfdcKucz+TmZYMweTzvXexnZ+83HNJWVLiUNtZtZMGVAB3WrIjISkb
gMVPychtmsuG0LejPdj2jZORpJdqSfLRs3dVAoOjXFI+/ilV7wUnF1ZIVGJ8SOWjiUU8tHWBfkkD
WfVgdc7OIZbtGfCM9VFNTnrt4HR/7mszAhM8Z0HeSnk9inbYFxUpPgOW6qNVlHDAHC4yHp6/1bie
GYlKPKJJ3J94Ps6nKTc5MzokKs7lIEgOgH5Q9uPvdcU/K7+/WvmZYqsS/1UV/bTy24r8q68q+9x8
X+G//di3yYZuMpiwwFSB6mNH9+fJhs5uj1U1gnKDLR5Zc/+q8qFYsQw0Xd+jOiMnbwNPfRt0iHem
sYXLsH12dfJ5/5aQ3P6hLgVrxcvbVHGkLlGGWz8UjdjJynVO6vwsDTKhXy1WEhsYxx0sSGm+VnM6
zzzIFvKwmr7STo2Bm16G9CH1sZkz/YAQBEIripoq1PQW3ky+TOulgpz5lbvUjTLHdeTaHWseK2xJ
oPXMi/WAcGH1gFyylDOY8pcob3lELTBY7B2Nap76N3qmDe7d1IyTMHetM4AKeADGE6NcmFFBv5SY
ObNlO+JRnsu00evqIvM26qzn8oiZGPqvTP3g9aj07EBBbb2HFIhTM+eh7pngi0RlDZSj6K0qBK7I
3cXOQzFe6s9Z5w5Yhup28gy87zpZ6ZcZxJZxt+rd51Tr5d7t2uUW53QNlHSZc36UwMT1Y1sjErp6
u6r+uQH/+gZ06Cp+fQO+NLL44fbbfuhbgy3eUY4Sm+1hliAE9U9oexeIHHoRa8tofFut0zH+u8nW
t5uCbQjPBaLIOAa+Ndk6UDrfBGkGdsD2N1b+30Db/9T/vuk7kMzQMNAG/9iyiQmYhq4nzWnykO0z
kkrsG1PO7fVbSMqfPpr/0LH91B7yWp4PIowJgcXQ4YeGfmLUtFIF1SfXnMX1Oi3imie8/7TwCZwR
oPt/0fH+KAbybE47ZrFA+Mj++ymPUmq0Wa2n83qVKNi76fCuGBuu4npQlnmqhxiNo6k88Tg7AMx+
/cf+1JzabO5JHMG17MAO/DGbotP0XjU9hdcqh+ELxGJOnlJMWMDFqu4huftPsaH/1Z/8Hz5izH1Q
7cg94FrbLps/t8RDz9Z39lyk+ZVQtwUVzZeprjIka5lUt4m+/O0XZBK0PV14RZp+RCDfv2Cua6o1
eulTl8TNpbs5BcitRm3hmdpHM56cl19/rD/nywK/3YYLzJ/4cFGJfP+CSy+YcsdqOo6NIlprdOLe
uFlXtl+BN1sw6pYxE9deSRq4uxTiHs18/VS3IKAxBhdrzaaod++HxTAIgpnscQqwDoBHAg/9YTG8
v7gKbPen6wC3pTC49xlV+D+nlNfo65K8Gsaj7aLxwEts2PFln5R6t0+azXbQ4Vi/EE26lEnQDzZu
xjpZ7gEFyaOhY9O4yHgwnNAB2q+J2UsnwH/MtdTHRnNZrZ64VllapReTDodoh31EXFcGT6KwK+xV
oHrsMUBpMgONuhirt29Bcl9r0tXkbkQTetlqi7oXg6Nu44zaNFjl1NifvMkE58ZjU007r+iM/FKa
trp1OCWciKyowj+C+tGeAdT58X0nDcklF+ediYqyXzRGJ5C5hPjKVapQ0wpWxwqNrz9Zd6peZqj4
aYmngDRBKmILGebbQSDZxyEznXp1q6Gyv/WLTnogzDpIarmBIUvq5ong6oH5zDRtZAhzutX7njmH
jwk/CxHQ+7tcSPvVk7q6b2QpDDqSuH0x00Hda9hkHu0BLE+2ZvarDXeExmjx1YvTDDzDETghAUHC
qO5HS/KXMgVk8EN2Dg11ncVPRl4UMhpZvb6WI58jWBQ+N4k3fvT50lav85/mbrVfHYaX9zhF/V2H
ZcXc47savNBXGgbfforV/e/Xaso8cAxTWobxKisUZUjebB46mz8WZgx5cv08lWuokeuZXvhunFWn
otO6aoAG6XvjbkB++4xV2n/yWs7TCBmBq3YVmj0nmGrHem3eHOtJy82PnuXsL9J/aul56H7rjCtD
Fa0WWswMLiUY3JLGpVG3I+qlOZqw7Wchd3f7othY4PNuinUbOkm+JD8FHDKiw2rRD2x/62z58C+T
BpHR9vlbarBRHxEPkhauG9Ewpn3Y1b5+/fZvhjiuw2rRc86NlbAI/ta71B2maCZYYT92PRcwWiAv
coZibo9kosfxJSYVvcXOPo9R0SnPvwdNLRC5DNRSYzCUyASuB4YurR14VWGoB3Ra8OaDmN3ztC/R
nASxqW2qmDIT+mkWgzspZmpanV70/ZBphwXcKrCSRFvgObW1XQZpQw8d1Ok4xGdj9RcMEMb8ZVq0
DpwCEpTsdkZLO7OemRYGDDXrst5AgRysqKMDzZvYGMOqZgM82XzO/SMIm3SnsgV/cA0pCChb2G1y
NUaYFoub3Ly2vW14MM1HRkSKWUijHh0cM2HaMq50MKlfW3bhhD25AB963egiph9OgCVE3LBzH+7n
tGNKMyCX/jhYBaq01OxnyBl+pi4nEBRHy8M9EZBF3VDxwvj35Jh86XqOTafK3Isa7tc10Y5+HIwQ
7yDHzRVfuNL6BuFOgs4Elt0Xn2nXHPXamGQRF7ePyW1QdeRbU4+UznXjJ7PuhzoSmvV+SAmhzmT3
Wgs3R72h2xahFyZHtnAh+gRSn7iklsLuv6SC/xJwLqt7HnNcy0Zcp9nR0UAqziuIDWTG7YtNpvhT
taQMRjAtVtvCflL3K5EzEKqpLVpLtC9LX6gSFvb8qhovecphMV5WkDXwuOk5SWwrN5a/2OYp1vvs
kLmmefJaX4cxAcIq4jHaMJytyCjA5dPzZyR7YVaejfp8ZfG/9q34WElNI8cutUbvZFYSOX0oWoYv
phQS2Zhhmp/WZLId8n2Li9Jv4zOczeQWx0GKVM1/dNO0eyoH+bpUajv9M/HEsGOMctxg18xDOOft
VmQXftMaH0ctZpBF7AbeMn92HxihFXQ303yyTUKHInPuRMh96bLfbKS392ujhmNNaDyMDeOpSr02
alSPfn2qkJhYi0GYhFbCnmUaTIoBk1PrUylM/n3LE0u+t1PwZ598b85k0HVt3OxXr8G/aSTFiNa9
L7QzW8eRj64iJmNFPPQB7A7x31aNXyE19SjnTzq4wHcIsDDi/qVRHrVIC63obM7YNQox8bV2vi93
GaxvDgurTOS19PqFZXfuXWtq8Z9kxeQ+0kqn/6KXEEsIRuB4KxySIlhicqX0UNSiRAEJDbiUa9aZ
aSOuaWI5SzvH4EzPfX7PZPBunAEeEJEIphmWpc85WI3o4JHZED2YYU/bssrR2gXKTPyzU7YZARVG
wXmPMfO4pBPn4GQnPQF2aAHOjFm1MPfIjg9yHiYAf9HY37YmL+/YMzMhd+E53khe2IxX63Vdcg78
tyPQZeQmSbVNtksfyk16C2bWq4Oxna3zPI46AykbopyEcvWlJgEDf4opuSKMtbMhq/J87EnkgFtC
uruMFngiKaYR8t8gHZmk7v7+tkRt47Pr0pxKItY0Hl+u5LTvSimPjLahB8NweKyQTO3EWuIqMGYD
jQ1atcpSV8JJYHfo0m9eZqNr4XTYE+86q1r+1nkLOYpqyfbi3uraEpsMXbLFKLlMk460idnTJ9eF
xGM5F2PRo5XDt708xFpjvzip4GBdpJafsdkosIUIK3seGSJ5nOmRF87N0jlbq+n1nIvuFhSg6Rft
mGq/DbLzD+k4+yrgPVPlZJrrPxlq5rLwSuYIYUfu8KMpOx5PidxggtK1ipV3km2faIdlEeQheiKQ
Yh5OSQbyQw1blG8UACBf01hxxZXEnlxroqNrGIxVlzorklbLGPahrHgS2mKxqeNR6c4Pjplp48Pk
KFSEAIjTJPXumVj6Do+q1odCxqOxW7L9UmRaIt7nHtVyclDzgDEHSOo9zk17l+lWjGW6rLIIGAzC
PGcxDuBBqUFcfJkXhSXTaxM6V5hp6QLvfmEyjzz7oszXli1G2t03HidLMaXaB6X52YU2sG2Z+pRH
z+JV4FIdnOI4vfbk5r0NLZ2oJroWFoR/aS19TH6SeZd4HOmmTAB/6YmI5CqqQCrVnRpQN+hKS3EP
Li5mScEhsUWTkdRTUJEMTlX8pmUWesupiY/+2lRZMHQTCSoNqgNOhd9q2f2mlcuNr6z5xHVNYTAS
vuQPrX5jV9D8Jx16LTyvI0PPbkdtHD8oZ1z2OQ/RKO/Seaegjlj6YF3hFq7v+LZ5LteqvODJB7q/
KlDMET0VepWzS/zyaiRxOjD5qG50TPPvW80ZmWEb5nUzwQ4IYblRQKruUKLuiJzp1qzEPZUf7EQE
fr8hj7QvTFQyhKVXhp8T4VC7sxV7Ry1fvyJK5wuBp5cUe9bLcxpVpGiTfo3JlEUgT2ACsPBwcoKk
2wKE5xWn4YAAZewMjGUmXvervii5SKuU0yZzJFfkOm1Ax5jQ4f52KeY8CyfK7ujXbdTWJX2/qWUQ
4YJhxbjFCOLHth+TUw7iyWyPrf1W9KNHxwq1Fb6/fp2fuh8Q+TCtmWXQ9ls0bt93a36cDmPeDCAL
aofDeAQn8dj1UoNIqkRz6Vhb6/J2HP76dX9q/XldPA54EuhMyZr9oUukJS/Reqr2qPLSeR20Sh4B
JAF6n2GxyF1T1cu946Qbq2Haqtxfv/pPm35e3SdlwOEG502gBPuuC1/6nOmJcJrjjC/aCDBKGY/e
duriaeO0HxJU4TBhJW3JVnlDnOFwf3sL/0zs/mpihzSXCfL/PbG7wWD63bTu9x/4Y1rn6e+IktzM
LvDxNocMg7w/JDGe9c5D8EeAKnPYPxSC36Z14p3v2objb6kP/MdmrPk2LPfemUzJBYY0DldgKX9r
WP5TKLkL9oTZh70NBZkq/Dj9iGcNbGZt2yduWBCz5NUUQCVgj9kWDDT00/0zXGGyDiUEEmAZ8YVX
Ui/7YAne2zXwMnJp+2dk8v1zwi3/NwduvDtD58/nDRqmQ3LR99e9P3oyZhFlnfLJggkJFuUW+W19
rt8IJx1qsIPfQpbv2wYey5++xf8wXAQN9eOZttmGiCjCRYSSxzJ/GC8iOStbZ8y6E6ltH6oOEtg4
j5l/VfiycSKntd0zapLa4WNy3Etl+dl7ATPwo1rr9Ys79h2YrnUxL5ISFWXhjOVhKOVY7CgXnDuX
6nkJoTTYp3iuhrNozXZv6a3FwGTcpooVy0R6n+omNRa6VHgFgiF/120ROjTA4whzMiAiWGM5yLQl
mHLHeGFrysaWbiBYe4/xGcX5TjbleJ+S3Q1F1qrxow8mafIJRXIacp7mIWAy/Vlj18pkxn0cMbyX
UPg6jhTA2fW1tFRCbaDNFDqNOR0XrYpJ3VzNIMcKzrrCnacOLbKThm0K2KQy1PKhxhhvBxp6nbM9
5zGTn2V49uYYgyaU3lkPWBVvYAvbc44eqPf9nBJAqnwjCzULyR+6bKO790ctv6OZykSUoyh8KRvd
iZra1WXkpcrfzWBbs/3EyBWZNrcSY1AvURtN2GHwZKXDoyA6cgdJbh5PG78liehhhnuFpTMNhTnj
yYDfSmqeKCBq1fFQUFkBKBbazkpWE6i41GeWz5lB4FTqjwFdnsXXmmvW0Z4MAz6A5cBesO0Pbr54
cJad+raopdr3SYdFZEQsG1hyQPQDBE3skZfIvRxm+3aB0XdYDY9GOTWmfaFne38AyM2d6p8Y8Ff3
KwMbZhHNmF+suZdHcFndV2Ya7XGt9HXnl+1wXDLZrPvBGBI6jtwAZoF4Uw3h1NX9AWe+wFfg4YP3
BO1zboxHb043XzYUuq/WrE83okHDEQDqqL4aVLTbmK0zAxQ8NfRm7DdZwO7LhtHqSiePuPceaL2Z
KQCbHim38xj15oOQFfDggDS6htgRBBhJSNgd8iKvHYovdZ6SELLRobf4g/lLUUzg9aYiRQ0ftCyk
9CusXzJ7RRNTtke/hkR50/dQntZxNU+YW/Lpwzb1888LfoLXlXJsBD8yKsld0WnD5zp+Q8T6Q4cg
goi6bDeMstZ2b2kqTLHqhYWXOwD0n7Q1e1hMTKhHdDfU9VpcU403Nfm0Ebi1BNKeP7O4QzqykRgW
GzJnMhf6ce0woaJNqs8ynbMW4YjZvPaNCz8XxzeXutpCTehh7/GybYchBB/UzFl9k68jhI2xAWKu
GT6vJre/bUlj+0HGK3TRzu4hbKeT1T8PmQORUGYT714lSBXfQI9ZMwOWhO/2Mk8GDCjfntopSmdu
5B2EW2KyRl2Nn/RcjvpVnkkbNA/hmyOztrZ5lT2hGVGrwVd9O8rBGfI5WZj9iO/atGaFNkwMfY31
qexNDZxCQdwVHiUVG3G5RjwJxPJqj6MkktT7PZm0YKpmcR3BdCK5pBHrPH2oE1USa6ohsHkdl4Fa
fQHbc9nI1bnuesE7RgnXaPsZNxBpJ5psD51nlDdLnTI1c5oMIG8vcnU3ZolxYzUNN1aG8+xG2iVO
ozpxGjvyFpiHqANQlCALSaszWHgXTyfvgGu3akEvsigCd9xJlQeracdjVPfS/QiFY14CPpzCD8tk
RZ7WsN7UyXsFaA920p1fGqxC16mzIHzwnLwJYk8HTmRgTi7mvvnUi+G9CdjyNPl+bh+YGM13o1Oa
ZaQVVjwdPDIwkOzAMJ0wPvpxaJHovBfYwq9Sc4o7PpmFiBzSIB6NYlROQMNuf7aZqiLLM0UKXRWb
o9Foa1jSwp0tZreXcTql59FdZU/n40Gu7bzWRoQmxaWJQfPkI4t2Ay4g7bHgObPyJ/tbFkBH20Cj
6RrMxHv0QGNjEP27DBvvs57NhdNvcnKJrhAjkJ3Y1l7FHPh9Bcvzn8LxvxJUbyvCP5UcP2ktbory
NW2q1x+Kx+2H/igeSWfE08x5YaCMoBjx6Tr+KB7FmwjDcWi6CJ9gG8j/64/i8U1pQZeyyS8M1rPf
CkcTYbZt80A1LGP7ub9VOKKl+L46EkQ1ur5B+cg7ELADfqiO5FR4tXJIprYGjQRzq9wP6TQgGh28
O5s6oDnZPk6JYEAXgQJCOqNGiJKdo4x4m6ApDoCVmX3lZ/FBA0knH3Emlpdo7TJybcFOfGQS4L7Y
q1NfpCIpL4c5NyJ/mzh1OGKrC5R6SIcKH6/alNfnvO00HCVpC/l+gRp8qBZxSOaN3LymRrsnokX6
L2CwTe+IozthENYtzodpVqN3uxi2i5Y0S8/cgShFTOQVdegnIKhep0FLP4yy7CsGbw2uixZXqXMe
bD0lJVIrK90Kucu3/Mhqhso/X8MdYpm6R8NF0GTDPonjXXEKhdx+OWmU6BxNsikr3H2oi2ukLBhs
sdb5hGawcKnia+/3kMu45POEZrJU49yFMRlHcEemifgW8Rb6N/+eAFikmU1NVSB8Rf1R5w1jn2qU
5A4GzlizQ6s9Ylzwt/mQ44LUW8FIRSB2LOLfHUKW21AmrZG6RYAytlnzL2u8LL1dhAMQIBs6BxJg
RkbWlByMQsXymhwv7aTPSE91zMQBBBnIf2iLg7xP61OqQS9NcM08FIxHMnIAdGbEjP3vRDnbe8dv
l1es04hyy7EMl2JJo6zp2QSxZTnj+jQPTW9Vp6YZxkNRT2Cwurph2z2V4xZOEsIWRFpb1U1kOmly
Y5MBhAewVJFDpEBkDdQruZM0x36FvSeruXoGNwuOp4hLL1iZpdyUufO+aKrkDs13fzunk3uHi3N6
waKjQKChQ5Ztqu64Hpr9MjUZT0YV35ZGs2D8bDUjZJ66JayReD+LzL32/SJ+SltlHlXqaDcaKUlD
wFjC30+uNM+xE5cHLdeyNRK4vpentvMY1MWl875zRP2Ap7wQZFSniQoBEZoqxADuqrBZ0GPX0nAc
qNl9tRtBWZ1mCvTDXBbJE7s189JfN8ivaO350fIFdievZXEajRAJfhMz4QsBjiACopOmrneF0azB
gngLKuXqnuRsP+aoYPt8tMiDMZV7Fky1oBXBWYYbKcfpZkwS41Io1RyZi7AVyxe+a3xV8o6KvX6S
vaoPUwy+fmZzKDqCGFiceRd809WOpB0rJKDDu1qXUt3FTp9e1JaSj4kw1w+juVbV3p+V8TlvpH6p
rTWP8q4z3Yu5VP7eytuvSOfjI4qBbod5e+UbdPMHv/DGD7DzyueFAuvZnIdsAzp4xXOHugsYAXeY
ow3ywDbP2PkkxO0JMrkE9uyEFamdB0ziy03t10RNqR4dar0UcBD4We1G5FkBkxm5Fm2Ant3Wca5Q
ArfUmg0qYa5idpyp7bEIypg3RpbWLcQmjS359hi0+VwGLMVlGiZk7bR2P180ul9HNNLGk8Ug8WbQ
5PtslQ95q7lflA2gAnHppBOFNKPMwUu35o94yqzLivXpmblkG9Bhx5GbJSff6t0r4kGYnDZj/7Di
yo5sqTefnZHcg3Zem1sz9tdP3QwYKSCbTyHQn1sM+In1PkktO3S60rA2RueCWNZPrixDjC8bHrjG
+Azcp9LDtRBipX4Hmp61yWtvptnXcqZU7qfubIzxvLOdWUXpNGJpprI/mppreIECB3eGIA/YsXDo
34bB0LjjrBRPV6e0vaS6YhMGr+yuyPu+C9tB+Lu3pffUZ1vqQJyxJUmrOVdHY1uuN7PVe7DlZvNh
GmLvUzFXjPnGbGSB4IFp2KF/X+4tLfYw3Nf262jL5tJ3Ymb2C8ll/FMdZ2AianZJtHuojGfYYO4G
FF+E1l+7pJcsQTKacyRMG2Fqn6FSr6hwgxb+zZloleYawG7BJWqD6tTV545n3r1gjH5KNPJ/+KUJ
6XtoV4HH+jC3LXXWBlpYH9nKZ6uR9m+NZn3J2s44C+TSWLc7mna2RLtOQnTIKlzPWPC9K98sijPO
ZErBfP2csoQNCNdoGGqq940uH9SGYfOETMGV0UFko5PuM0ZLBz1b/btOyGanOQa2cKuf+2Oipddl
MSXkW2Ux0RlSIP+zrUOe2Pqe+/1zvtbefWcwRE8pFB8TNmqBSGV7MecFymHmtuWV3WBFILJoumpq
nXjBWS1siyt4ikixmjuu3IpZvz/fZpBuv3Sq15Bjt6Kk7LG8p8SJrQveIR4CcACkcbR0i2VhV7dV
rNn70liak6gHMIZMksjw0bOzJrHjO3XdHIZRjZE1quEFazw7KK+BnuUWH4defMq7toAUZazniS3y
GDj9nN5aHq6cmrSZSFWpEeII7X8T5lTsRrGMDzke/h1uFca0CZMPttVEhUgtfgAS1l8z/BkOs2+S
Q9bDfcAvYApYoz57fowqHlKJVDvN4yUY3zS06/mT1Mnv6xQ5JsnsFV8qVkk7SHZ8r573MfXKrxLA
3QldgBvqbrHlLvB/AcTyiQ+ynSNeLf2k56UVETps7FkhkhrdavlnPyeuYihT7TDYgAetPi7v8qGE
oggweI99tjshCoHqjuXoaMJg3LuKyksjkOpQGOl0mVUNg/5SkSA3CE2L9GUdQuyy0850+/rzYM9Z
yHt/xPYhwnFJneM8mazQ7P/P3pltN45cWftV+gWQC0MEArgFCZKSKErUlKm8wcpBiXmeAnj6/0Pa
5b+qe7nbvvedXVWixAmIs8/e375fBZ6IimUHIrJvH2pL/mjN5jqOrA+rtMqYFtcjl2gDroxBz58A
hpEQKEnzlRNGAYEhN+uLarqrMllk9u1xnUvQN6TiN82AvuIhv4WsHB8IIHtBi68pcNPKpqcDpwTt
OodIFPdOaRhPfg+itHBH/wTQNAYiXl4pcHxcujQ5DKWZBmttkMQvlqs/jdaezqviyAa/3g9rU+1F
XHuBTEY88LQLchFWzoMxaKprfEO9YG6hqisjZuBL6wNGmxHKhQxXWoKUs9NGciPLE+4Hznidbcv/
kZZLy0aVjx/kxZNLfhpKHGwLfwCLMskRRc5vxhtd4lfLqtgI4nT1bsthuRap3DoeX/8zS/1rs5T8
322zD90H55e/TlK/f+QPzzo4KgyFPqA6XwH5tplW/pikbPFp85FSBoO3kh3Ln0yz7icb2xM/p0xQ
LxyL/jFNCRR6JA6M7CjDsBpN/98xzSLd/3WawqCy7c4Quk0bzZNtwV+V7rwf13we/fQxyxFp/J0D
h7OlFSt3H/yoEeIq3JbyYJJl4PiiyGfVwIE7dUGMw3TSlxardxMoaDab6yMfnCeuRFvMW+IYyk3K
U8joNVOVn9A+zPlxKFrzZ2k2M/ImF4fU23VW4nEFH62a5pY6sXNvoixNxGFJJ8ftVnLxy8EKQUyq
b73vxrbk0q4X36pctEFdxyvjBWFBWCnRMV7rde/4hfmQ5ymaYOW448iA03GFgbTZUXvhCONVmcZ3
DyQAjgOiiRV7D4g9IGpT7PJnTd3LjeJL9nXepCqkcd8NuspNnjq6HICQ1Hp5JLAY+dCZ5rILnYZn
jCK+Dqhi1EPtsd6AKGBGpHdkQznO7vcUn/1rT1olu0jq5ffA89VDyhV9BtWjk5SIz1apjI0GO5Wv
/SnozSFdnpUcsB7xTixfooXLgcGZDUawjuJnJThzBX29MHMt/Pk3qRsld+us9Re2vNyiXaHNm5i6
nJDGS5I/NE6AJ1IDo0uggI59XjpOlzF0FU4Uaipvjb4ysXpJuC+7Mlo9eH+zGgOnEHwkoGAj5Cid
ECzOkHY6Im1qeUeIb8nedXyydjYCq977RaL3qTk6SIQciSCfJb9UV2CJidP81KdiPMyx4+5lm46g
uxJ1bVeUfqxpeby3l4Fzmlt2t0sNTtIsW+tqSJ8mpKnE9iEUlbJdJ92fM1y1vUaCuKASrE2QLDXt
4kG8IDkf2spoziCFsuXerEZTNbdEkWav4fJb9R5k1qwEU4oMXDWPIm+RDNYqtURgOukSV8ypLLCD
seyxr0Q5QPQATdXz4BlYdGLuy5VX7zr2Me/Vak3qGQ8JWE5laL95w12jCLXWQJyWhENh0JloMTtH
a9Xv6aWF1cuU3OHIaYC9la2iKCYrVK64iy+lcZ4kZkuCf5ojoOGl56kCce9G1fyNUkjATjmmQcYb
Os9uKE/HD9FTBgBonU7c5LRkTIonYiqFFQywgQGSEakcTqBZ1aGK0/SRvB+H7KSdEtTTLir5Zkee
inBLLumwBymBMauJmmk6r2sK2dU2BNHEhHdz30wb4Yzi1m4NMmaW+BFTYkrvJDcxda/XEvmhl+ax
y9W4T+D3L3zihDHtMsXhvDBUCqCa8mzgDVHBlGOZbrcvC2/+Yqc9Zy8Q9IQ0zR7325CtV1YwP4zV
r/hOAa8D0wHkRl6G2unZO7RUux3icam/aGr9ROAtY/KycjqrjyJquurIP8QARehmGE5ciZZnIsq6
vrGlizEBud92j4WZ2FTYZJFz49RN9wuczqscMc44qezX5ym3p+Y054lVYwhe9N5rDLTPvjfvV0Bg
V0HRMZOq8DPqZWKuZpKiHgh6bXZctePdZlRs5TByDK3P2prZiTl9te75TfnRo8QzLKw44ijOe1Uf
KNXN9vYqnKsB354E9JjQDupn9l3tVn7oeJnhh0babOWaCb3pzQpqzXQKm/c5F3H2vWtV9i0zB+PV
6YrpnbPt1LGAE4LvmtA0WGarE5YW0+lNF8diVzh4lEIwZXF3x38gRqY2lPqA3XCzxIHrrdgZoOBJ
MjuLULIxg2wp2EBpJoCd3bukTqXbxVhQWQmcjLZz6jAayplkYE0bJBWuVTMC1Kqi4sVaCFlD1fgs
+AgDDOg1iq9Pbd3J9WZ1pcDL2sdDtOwHOyGzDd7ODCkyohnboK9oRxxSP1VRLy404mFzR6Eorfu5
q+v7dVjd7Oi1tfOlHfSXWOuJkm83xUllpYguuE/NAQsYnLDxHtoKYY3F6p8wzGTM1dy/4qul8YFh
2xbFsi6n0gFLLjl3EumNbtueq8ZFeLl1+M956l85T8HZsP5XU8NzPQ7Jf+2+sRtO/0oA/fuP/hFG
8j5JHkphi8GS82fgh+d84kQjzT8J0X/o0/KTjYeFWDYwDuoLEaL/oVFDQ4LOIRWDkIXqTUjw34ki
+Zs/4M+uJEwUpjQ5n5GJJfpo/rdTFcxvdrG09J40kukc+qAT5l1VpZj9CM8dIHGLkcVS5l391MHI
Z6cV9V+urvdTkXg03+EefMmi1PmMcrU81q5dPU+9G30ljoQrE3tuc1LzKk9Nt/XRQpSQd6mBQQ0k
O9fKWXML3SOPkwhOUNOBlBeM5rlVGzSfCencjmtbtGFLB9QKOHqZrV3OF5vCBATtX32JAhMofxGH
nGLSh4Tl2GMOkhj8vZ6M0GwN55ZrIqtadgEVKCQnsROcHD0NY/UC5Q1KQLMbbC6tY+k4t/NK8MPX
qVmFumindwphlb/Hjjh88Fss9vuiwnUAML93kBHblAoXJq3wt6mZha5Low37VRBCxixPKSW2KnRW
s/yV8oafcNES6KAFIMb4mUY/V1dSipNbc/+5WQ0ka+BC/WeBKPa5ms38yc+pBaNNPnmYx6h6aTAs
PAw9YLY7gG2xRAAgrgIFU3lbB2dhRdzH2hrWY9J4V53zd7VuwwuZWVFEIzZNdzoQmVa0tqx0Ccae
9xgVNK8F6KWmtY98gNeciub6oID2Q71SN7opm4fcav1HCfYG7V/48tTz+h0m1rVnyumYZJNkPicj
Y7H+bdYFBFc/W1brXQ0SD5eMPTaub08CW6FUuIw66yXCjXKTopPeQuYWN5g86oe8ayfjeRXlEroq
s7ioz/OOjttR7FPGgv4EQWrgOYPedKq0/Q78qH3vWNt9bsyFm7+PSZeO9RhLu2WUXtgNyYA5dV78
q+YIA6JV+M92l8ZX7awYNnyN+ryTIAXsSPc9NlZuIvshMeZv3krVdt5b/rlpHBVDEze54+usoupT
tcNKUe9iL8c0Go2zHW0VkzN+hNAxtVdBKHd8oJKJzCXGiLkZnzAsSMQr8AqPFGBbTmB1rvtaWYu4
TxCF5njHyRVxCFRkvSJBwjh0jjHAA/IARpbNzRIYvBCYoWVae+/4OzePis++A/KAE/H+bNYT6s3H
dg6JAtIQ1FkrXgZM6cZwO7jNaN4UGGPSzwRv/eGWJZhkC8LH54uKYuMZxbTnUBzdq7JEJZmG/nPS
lhcKTOJzMZap/yNj/pjswHbKWhi39BIpMKWwv16lgy8jXQlXmNzjwojYzMGkiSgYHGpEgSjObymC
397wk/oe200b9s3wlI0WG42isdnxZrblYR1J5jfXpeLxxNfbeKGsOUJP6VjWjNIpG4w9VrNPM7IX
bq7ZKQ2krH7Kir/htJgpFOFptMf9Mmh9Z5BKuYFVKfeLXz3Vq3ce0IdxSFk9umOtb+c0G0MFKisU
A0djHARHzlTGT7lypSmiDjj9eiSkCAUx5eCywBi7sIB4HtYenEo8b74R+WZ1HevykbFtXcb6Aef1
E5hlO5i6lbetB6URC6pApgJ11WtcFJyKaotMVndm1fQf2aIu5mpH78T755PGuf5c4Tp9yKa6Z+ND
ZkAAeXyEb+xQZsmJZ06T5Sjc9ZK2HhwCHLm7hDryw2KxGdEGP2XlVH6AWqkbKi7W9zpCLl8K9bA2
3f0w5xFuh2TaQfLojm3ElJy5hnmPljk/uD17Hw6331mLt0dGDC9MoyU6YKPPEFRlv6vBTp7WumYA
nCZjw9pad0uxTBhM46+bM2FPKxVpVrVUe5vGkqCgWeMzNJT5ZJbx8JqN3cAHYzaOcad/jZ1bHJck
W8Khm62XybKjr04uQcTpKIF3nomSCJ1nmzejy9L/5JRC3lV4yw8EFzBkNOzbjg1O41sPju9OG4a6
jtQOH9OVWxMkevodpUBgm9xVXZa+pf5pYhWShV6bDkhobfTmt0RNHFlGMETHBHKO136v6rxmAIdz
96VRRYk3YQIznNreoewH/1jDvXxvgM19Rvw0wmGCJllTVnxhe1jfLS295CWBlavDv7jvXW089MRg
FDkwcwczED20x+rRweSATKuH3LqVOovPfl56PgXBst0VQ0q1b247tIa1HA/3NPosgcTiT2uL5Vwc
JP2AIy91NgbD3FExFR1Vo/JbxGFKoGkpC1p2xW/4u3uWen3V7tORDYfpdE9ulNVXvQ7mxcng6HnA
YvDc8TEQ88HUdr/TViJOtk3txtQLg2lCZR8Oi8aPkVavPebdct2xaZjBHgt3ua0Ud+xdtrRyvx2N
X2tK5J8Slk8/NTn/sPFbQsaR/dXwx19pWsVfcHJCB1kA8fVCvtJ7atzzncp3tpOTQLK4zq1LG73C
RD5qJ/saueMPz27lca3FEKwRi2rm3i+Ujfp0lNb2XqnuW1uCYJkc84badpyDlt18xCBAgzwzsMF7
TnaasK3XO3tdRAjRzHoky9mFjKf5tbLcSxXjWCqxFIblYKNR22ghw25OupnKXqtcL/EyRCG0gJ+w
sF+oPOIoxfmCwngaUJ0JsrYF12mrvW8Rfri45rLdDjOttxsEphTNXS5Mqij9Zuf5i2G77GTn1vwK
liA91amnPkguPQE8+AUZKaChiOCjod6rwjIRxkmx6NxUt/4SrbCXRpbMDoChmGqa1R9v5yqPuHY2
TQjrgCEunmB666W8cabmRi6IyJlrvabzkp8LPvNI1a51sLreB2U+4EY0s2M3Fc1tPehnsSY9xeNJ
xRp5o0Nl68+B8+ducMb6mTmfDARCNAyj0ln2UAYn1lz1ECxVXx5A75JYMLwfUWx/scgQvJutdB7Q
qwoWipL9y8DnSv4o7dJCvBpp+IAVfQcG+bcz/0OVMw1h1s+e5GvC/r5odpCa55PXRFnQi0aEKXma
YPLc5MiJRT0RBYn3OIWyA6OkfrArFT12sGY73nSQ6seUrVqy9DSkqIaPqOXFqBza3ndWRkypyV5J
YbpPkU7GYzOnEnamXdVPY0LoL+sJNAD2lSzIA8Et/Wy0vbvv3fVtoKl2O2y2VvWAwyqmxN6/w0H2
Cy3k1NolzgHDfIjm/mFr1iMKjujQK0Av5deuoO5k7fXL3I+PjTWw5qzuOa2lOx4YcM4A4BM8MGEU
wE5w6vmaY3mAMiyZ8uF3KSHPWEa9s1u2FbnqLrAXBbbDyMv10Sbsdvefwe9fHfwYt/65m/1vg9/+
W14PfzEmbWMfP/iHMQk1XcB4lJAZ/6hw+ENON8UnE5KoQ05IKBsP0j+MSUJ+8nGt+57j+Fufyp/U
dPuT8NA0FJQB4iNMkv/O3PfboP/nuY9cPNOjaVqWa2Egl78z/38C+flmD4shao07rIvTFeGf1KXo
IN0Xax6qZuz3JomVJ6dwse3VeKQtLro0iXmcavJ6flmY29CYEF2sdvBOOZtpGURZVu2AwAEAA0ce
5kP8FDcOTKOBlj+q33dCVG/zmD/ONtfzfI7ZHbKXCyw302BfBSzzcoM/iRzRphWF/TxUtPo2jQ1v
xYnLi5in/gUVnDO2GsR+wXL00zSQmT3nFaXkl9NgBVLReF38hUMmQLVjO0tRBU42lk8pPtPbuvGg
oymMWIFuy/zIEizdZ0Wlz8vsqpuSDvsww7Z9K7rIPwz9yNUjr1eXSKJpXjqXFp9gFrS0TZrZCJm5
dRgtzGo5rcTVQuzpHLNkK89m552Q754aExajM/jWPfUJd1R0lxSWYxOJPXSjPAFC1rZedBhAZez4
wNShV1mEP+GjB2Ctdlgquh1vVnm3Ei0+KGkoVg34NKKamW4UqjloO9bVSVcQKFlHM9nkxfrcSu78
85K8Mbbar3Mp3Rst1PReWbUdJNiJWX46dXRpusU2w6KG4uXvNiSeeTdVkbM+Vx0b9zFM6ZUzfuSF
ttQa4JM31sPo9hnH8ooij50pa8EwAh2cNBrC5xM8Au/ix75phLOHT4ehfWrnY2n3wBWU1EdVVhzG
ELHpPypxmhtqMLmLpEaZDIG39s5EWieVZ5V3JhdujmKhka9MscPkc4HFh5NfjIWtgLE3Sq1j1q4N
YwJMwawgpIcxuSaoJJnCpl75u2aiLbe6VVE1uN17bUfyqVu55OfcrOvUyED7clDN5ivO9pJqu9pT
8QN+INLgB7z/5rgeBefn7czIyOe+zubYm8/GtLDZCelxKEp/Z8clBT0HaoM8hgpisrU09f2cVkvT
Hto+quCWFab1ufYafZ1xKpTBklUtq+3UIhGXGzF7CPCv0c4Y4V+GKWTitySXYNbwrnL+I+en6dAD
2sqatmVOiVsEWuxwTxXbcDpHlGyxmudN8hZBPS4vRrbY1q5Eon1Yp9klim+oOdqNbBAo8KYM9XbJ
rORUV4VBPRSYjN3sjQtu60SB0zM6/TlPC7rAZOs6X9tE0EkXl/FDS/7xwW1Tj6Nv0+wIlFLDxR+A
0mz2GyCtNUMNHf6ULiwsXFgsb4jlDGeqtbaBZoFYH1i+1UH0zKKbxHMjAuDKQJPuB7x18QAm2zKs
YSX9UCne8jUvifk6wxJYv6F5Zj9wVlLVIy7f+KiwEyfWJB/8bIpfoqLRdw1DJVX3Rrz+DYPyn3jX
/xHvchxz2+r+8xviy0dVffT9x8efl8t//6m/3w09erLhtGwm3N83tb/fCX3zE9ckBzerB3WA/iEc
tH9IoO4nyughEAsbVtnv+90/JFDxiRvktnL2PeltN8p/51Yo1P8IMWHR5S4oTAssG+BhbuJ/Bvgo
mmaNZJbVjTEh+TTHCUkkm0LqJmhtxVDhWdyglD2fBxvCYdnjDLN66n8UY8apLUUaRDLCeoiOa136
VrgvnNjz0EVE3MexC2l17lhpxK7+wvUKhPxCz/g3P66sG7sxAbX6Ep0riUVIEc7PsWqGm8np4yMJ
k3gPcKDdWXguditRouMymSZ6J94WHKW6P0hkml1ReSS/M3ZMAtfkt6rry5uRCyPlle5h7IlCmcNk
7qYsjR+oBvdO1ZIWL3ih8HEx55EwZhtff0mssT3a5D9uoVpu6gWmyu/s3Jok0GVDnUXJQua+Jqb0
mmeDd9bZaj6Nc2fvq0JdsZr493QOtnuvBJdIlBYvG2PdaVXjhAmF4SPKzO7YcSU+zSkwAyyG17qp
8ViSODpQb8H0xxj0UCn/Nq5yWh51/ghhlNN4RI+JtcxeSE6sDsa8lc/dVjwzt8LcmasQZ59epZux
X41TZKxoh7Rv3xZ91eDnbFkjslXCwmnW962bqCRsPWOruZrHFwqBRGjj4D7HUSmPorHKg906kkft
12sz2f29Sg1mrNF+cXWpfyzIz2E/436MVN5f15wBZV7c4uBCR9pjg8Rwl2bq+8h5vqmWr2aZ9ker
YQwdpxjEqu1Hb5OX1gcugO5P9rf5co+YmN3HktV/wR0i2Wk9lKFXFtM+RWM/Ma52B6AKIH7NrTiD
KOB2eoC8AFrmO5WA8y+ovf5hNSvtoV2VVcj3BkPEMvfFecmaV+w+2Sub2uWb4eKbD6pVmvdGDaLX
M5gRa2wOSZD6SRM2MVqya0cgf9FAbyPTrR4ca6rvSde+Jtg8qQh1RHvy6BO+6rqF78/e/sHG33Mn
2pTxHmg+K6sUCVadRgO+4KHrqeqhuVXk+NJGPd+iaxyyymYDturOOSSi8XY2U+MmxdnlaRnp7KxW
X1KPJdhV7gobvrODT90mkB5jxrWIzmh7LR+J0px8iaUjGav2vnPtb3XRqujcOoVO7vDafXbTTj2V
GMCIeVnGTZ+OIrKPxYACogAhzZX/A+JKm4ZxtKzcLHX/2I+2V/6gboqRm+ImrOHD+CqxLm/9AwlC
QUEIUER9FvrdaIVxUfm3c61s8mBRDxO4Yf391GijzIjgL1N8agSHmVe7mEVOeamZsynfw0qsAb/0
0usN3B0Z1UZcKHndy6lZD7T0sEvAjReZ7yvUl2FnNkZ8aRcFRZxzht12YS8X61pxlIx+ZlHb7yRG
x4ArHHdEYUByZGrnkytxrPt44wMfZlIOxGnLvpuDn32nRGkxTl41EcuSdTEbAZhryqCm37ShbTQW
9zP4a6gvgLBykrZ8UkzyTDdWMphTULWzfiQ4KH6ivg/5ERWdPTRt8kjDE8VEnNjYO/hhJXN+JRa2
zWOhTSARmF9K5PUCo7A5N+mRax971iFn3R7Yfs/uGNRqhpWYKnfKe73Frl0gY23iDHegJKW5r4HI
gxXTKoZYWbkP4FX1QQoWK6ZZTFnQSV5jhPRoeSlmz77j3N53v9tQse+W/nwE+ejeV75ob/LU53uv
ZbSX+DKHnT3SHTFadnKE3+sda/qYHiu7OK+Y3lXQWbI+62TjWDeNIpA0iIRFlae2/TI21v1Yjay6
SZpuxRdHaVTZ9l3lmGlRiRp2ce0YB2iR5rMqmix07X61dvCqjMA1qupC4Im+p0m5l8Fl/UQ8ykaR
cvw7IhlOULS0ruZaxMehQzej4HgszKDs1+VHu7TfuUd1F7aNLpH7bWFPEM0LbLM1n+PVig6QurxX
CRDpKlgac3OoCoiyqn+oBw88hbGYtxNoih8rI+vjEln7XrkxSYUsOpU81JdcWekeVo73PuFXrsEd
2c0pk62+U5So3wuJx5ky2HzfzEuGvOWgbrY1QbNYHxA7RKAHc82QkxJ8WNlEs1iGqPWIeSCDWOUf
+6JqXldVDzeLO41Hq6vWI2UkEkePxSZo7XFozAwqD4odVLbvtO3dpQ6XePpeSe91hDhmfv+z9oUM
bIvVXEwV0yMuAfqP1iQPRebHR5cnQDwlnziIUoLHpXEVXxynBakxSb/5BvxzuGfWsT5YKNQHOWBH
yIGdn9y+dT7TX9WEtl/H+wYu9wEWVwNoiKrr3Jzbt5Hv4T06d/dIWMg/Y3ulIzmBs4o0mR4ZFKdL
Dtp5B0HUPdGh9LX1RHpesHh+jthXXKLI8nmQ3uUkUG5N4x6M7rp0zEuv8ZHsUr75jzJT+ujbbvfN
UxUceDffO2i6166XGvB+6bk3JTok3qRkvbOYXb/PJG2DRpdmmIMFv0nM+HOETQyFDVkalilIIipi
QlbBnce5G5BJFZmhIPByL9PUJEbXM9Vw94d9Av18L1CJwZhZwysU1sHbYzBifSYgR/lYbYGtaZdR
ElTjDk0dS3QV2wDrS89WbmDmrhXzaCZtU47Hl7qbKKuPQMPZGnFLC2THQJkZV4KOICKe5Yllknp2
usyDgwI6jOrJl96l6/H6H8HrXxK8oBETjfvn5/u3tIvZ6v9V7PrbD/3hccCvIKAd424Q3naMx2Xw
9yM+JgdXKfwFGA2Aq/obIuCPI77/CQAxh3uox65rE5f7/y4H9xOPBj5UucqzbQ6a/84RX1n/44jP
r6dBiofkr2BK/u9skskFLb/E1snzloq6oanGzWn6crdWS3tOZ4epNfq6VB74OWqMkldzbBB3CTDf
pUk8XpzaTbmBTs5BqsiKwk7xRUyWuOHGUhUvdbUQz2D6uWmj4SUCNrh9sttvptPkXbrveIFfiTpV
bzYYgsemnPl0T1gPfsqogja+gWgEXXvfKpM43I5FjPzmNASiAhse59vg1sZHrpV+ZXNX6g/mIl9l
MCrFfElqFXYlrshYZ3cmAoB3dCesArMjaKMMYmMUl3GwKSC1k9p4MYTkAMclaQrh3mGuZPcY9GXa
Cpa5jr5YnWaHlCfe1yIvuG32w+TxspCMPVl6jgkQWuOOZB+iHC5dfFTeTFrNajG2RX3+XZRrdReT
/Ua6XsVediL/0mU9x1ErEnsDC8auiJz5jaDtsp3JOEqIHkBPjcngkViOqUhUs/7DE2a8Dz2t12Ov
9Wti0j+XpwQCKGmYWvXW9Kyo0RgBLoUrtelNoLMIumfkxyAuoc0P9kOLXaU9GLhoXjous9/GRgAa
oHQAIEcskNF9Ui7g67dXObc2BlntWy9+jv2Yill2krTDEEosGsnDD/ChN7bDwIDHinfcqaFvgBw1
FQBQT7K+DLzEh89ldC3kq7ka6zurK4jh/P6fhZXxvkaNywmoHSv+O7rE+BnpLLk6N5UGPemT9NrJ
oYzeMmxc6e63wW+YBMtO0F7YxGIt/TePOl78OEPkv1kjqKmgA/zE2XrjYTLF8DRK6EfHmQIGNtiD
j2OQROm3BjNLfxQUudObovv1zq9QBYOlBAhEGQuYrgyRixrK7UXhbCmyuyGHNHaLNZA/YOZ+H4cq
RmDDiwrak+QaZp44mki4SOZn0AtakdfwFAagSzRRuX7oh8iMb4ZmAvwV19nwE3MDhxKWsAhBLMXw
qtbAwo9FluF0JLIw9ROHIJN/QQsXD6/d7cl7Kx7LYLXRNHfdrPknawtSQLglthGd8LashBve3XgE
qmk0PIkIW8MjRe0uYDF+o6soGT5MhuvczAXjXvA3/FA2x9Hb3OUwQhHqGSrEbE/rsess8c0k2un9
DdHpmiCDWoy7U9BK3Z04l0pxjbPRD3Nn8+OmTtr1IZtK6HatnfL4sVPwtJaS21lCfvGz2AKBb7//
Sq9Yx/hULCKt8K9L/ljZuHzKDA5LF78rQJMUec9Bpnc3OEFeTu36zOa+zg91sb2laNDba5ItZn8Z
Fn9Lc/Usnrua/+8vG13U82OAdUa9phTeGpu1tGxZE88FVyiVtd1JlKa1HFLgcb/WVfKJxAWwfaYs
mzRVLA2vPIJf32ygVqkhpTa53mmVD/N+8O2VxKg7P3H31o9TtkBT4pMGra4e8XAUSQW2whd+cx68
cVc3EuiItOF2Br2NrDmWuDp2CxuxLVIU3f0mBPJmYm8Hi289ZcmC8EcfcvM+iLGPDlhDNMk236EO
zisPbFxJQ02xhH8w9D8yA0MbEzNfC1Bi+tlzjXKnbDbAgd3NHU+GF+DsmsLg2ZV57RCMwVW9G6BX
OHvpV0TseMkm2qEg259m0Ps/WoroaOasas8JaTLCdWH3OJViCnpvMB3x+i4b8bJTiisIlZITv7Cc
H2ZLipDsr40kPDhzYLec5DgxiebGoYyWUIKXJPDql5iVc1M90TLtboYE+AUkEhL71a9XdTDmbvkQ
qnRuI+iFp2zyrJ+FVOubF49aHchPZ+e2c9MPh2zVyyjlctOUFRnSrIh2aNmvJOa6t8QW/Z5l8IAF
w/egd1pIHbY2CoDLQFILX1cH08NkVdGM/IGNHKsTVP3+jq4qxYqVHl8RlGvkvJP57ImU43jaUUBl
3Yxrl9+XkgS2nOcN8qoH292l0arOMm7ZjXTlh5R+wprdY6vM5rvFIzBo78Jw+WSVrE5CVlHsM0hO
9Na5QBZor3iJceSZhAO3GW6dnGnft3lzP7NgALwxRo/VRHMn7Rhsr41mfLKq6osTz2TvBr9f4+M0
ps65gSBpv0ZgIN/g5HTPzNqPiZzaJypw4ZDHvfUUwRF4rtTAvDbqwXtoWeSfUsaw0AQW9yW2Zw3G
03tZEb4+j6j9x5r0KTPcXNVbpQvK8mnqYOpgkTzpht6qsbEf+54tsVs2CXA/ek/Pc70S2I6ov7r2
SV2H2sYjXGzd3H1Goj1g8YTMAt+nMvdJlMxfI07mBb0mo2SXXY4j+kdb0HRiWKIISZ/VO0+bw4td
5d57arO441bomA9jhhW6NI3mZnJhS+1m/BKQCZs7EuPjZbDNr3PntfcNwyFV47NuXKL10XBm25zt
JzDfz4tPdfiiM+uaW+7wCypO93XxIWR/Y1ArpivRgii+G+jbvYmLvNo1bffFXtbomiRWtM9dnAcc
BfV5GizAngj7jK1EYnvHeOi6AZHMxlkfoFh8FAMFrO3mvonkYl+zdJjeUb6ifYzN+tFvfAk0dY4V
8Xw6NgPcr80FdSK/N6PWrvbJaBpXyDtyr8QIjrAsUG6Eq2+bvqy+puPAlr9uXiPaEW9zs3sbuCWG
ScbnFMnv3bLjmwxu8NlYpPgyz7HD1i5fOlTV3kLlJQHTx4KdDwzg+1F1SFszy0llD0Fi4r4KVN1o
8hXJIHiGHjVYCXURe2gA48DNz7i4YF1JmSbnEn7tyS6sz1EmVBAXLpYIuxa7ah7yPZzKYm81E58D
G8kxYUbiTuFH6+YScwPUHmEdWA6bOrDtxrl6sXAfPb8bnutOUJrRYZXg+STDLl/1gaUZqdMul0Ez
xq8upVh3Fb4oYrq62cXVIkElleUz7dHUNmccPw426ZC9tgvM9HSTwcMZMJ8GS///2Du75rSRJQz/
lVTucUno+yJbdYy/HXsd20k2e0MpQCSBvhhJCPHrzzMCbCTbZHdFnZM6dXQVB2iNWjM9Pd1vv+37
d5EMws00pXpUhFhcV5kmya744QIExA0WaEH3Tcp8T/LI+aQR+jlP48Lnz76eXgMJmt/7BsHKAUiQ
8rRIIDOmmXCiXhUw6NDB2lROxNC8JAhCGfLMqz4rWTiEZTcqvviF/wcEScMB52VIEjy6X31eABui
4GpJznieaVdmGi0vlopHJaTj20RZoTuVTEklwaRIoVe9bRWmgOXTh6HNjPLZIF3Sp00PCnZHqNJJ
JFtRCMiDktsURuXjBZXqDwChrDNIKIfTU7ZDcCZTGqhRNUqwbEgxz1Ko9/5QcrKKqa+frCoPlh6d
MNex4lfF9VLoyVnZ7y9B5mFPQU1SoTywsDfj6bwwf4DbKE+DmWmsLnyH3uKpZc0vHEHL0FC6VmCJ
6PGzqOYQcKkRHZ1ki7igN09Pp8SQBnZhFzdlqvZPhlVIQfQClrQZfQeuZ9NocbuCXVz7zP42u8nj
kJDCIHKW0d00D7RBNjPAsMBrbN6H8E0QaOg54niRT3EL4lL/PlP7infmUEHMAlLwBTmMz36Hv+fB
W4TLj3Qbyk6BoDhLMDD28FOGGyB7d6dY3krz/rCiBYQSKw2sNtUk3zwK4e5XwxJigMjzz+azovpo
ZIZxO4/9uaBF0bxH1ZRRXGlJmF8v1Xl1bsfB8k418uzRL6OreTm/Tu3V8mTu9Oe0bkqyEbReyvki
n4srsnrDc+HZX3DUyjOLKq6FJfRP00UVUvyxmM1mZzDAeeEV5CmlehY4KwptS13QSTsJ42QKeai5
ui80Jf2+nEUQ/WPyQjoPxOSQNYK6hK0J784K0YtGlYz69hzivz0fwutT+tQbxXc7Tx/TooqJE4t1
1DjqYdwuh0sTcl/Nuk8IL6d1oDmug85arLh56aQ3S3Kwx4HNXLiclQG8RqtpRV+82dS37p2+btBr
JuJfojwWs3h4l9Cw7QxGYQBU4cBIy6+wWycDXRO2Z915/XR+x+53mUfsoOXFzkn+FQo/efBtwP/h
XDR1Du0gPBTO6a3c1wxnCcoJJbkwKnl0MiDehoKcZLV3uf9GUtCLG0EKyo4A8qXf7ixqC5z5OZS7
F6EfEkxO7Sg6BdyBr1aTNGeB5OOEdx1/lBBgus7dvtkH9OXdbYU+KPTn0CHlgSa6meKj4YJq0Q8y
uRDTlDxOWdonwTyocCUkVTQ8O+axmVv4g70ywoPf/+gqWczWs4MIhOfQ6ZPlJDLXUnIJdhqwhoBt
RU2Rvig9IusUovYf42nGCUpXTR5+oVfJ9YanVMQFZ4DYs8ILap7Ux/0DalXSwrWpybwplER0V9D1
9ng8pyTh5HGYsYTQL0vJum0Efv9xVVnZ2BFqcL7/fgbp4pYCIGkCvUTyVyEMbMgilB2wESi2ijqY
LLmISRN9BJYPVxu7sQutGrH+flKM/FDR9VtvYRfapRBg2uGjgw0jupkaUyhke1jzU3Me6+L3SMh2
Gz1zlV4JCtC/LHxanyxmwJOP9VU8xFePJGm5p2gOURx6PT30YbIXpwSmxUVQFJwt0qnhJsaizB9A
+BvZ2SpXKcEYxJLY9s8Vh0hAePaSU7o3hKo+0DwOoPB+qI8R9L3fyrDKxtiJ+AetKOIHDcIByTwm
2yeYfSWlZARKCprzwfksN0yFU7XaG35a9bIiO3OgV8vOa/bdii8KSNxSeMOFr5pL0KZ28q0OgETm
XL2tX8L/4Qs/gy/QHQKK5LfDm1+ptyWT3gAvrH+ziW6qEq9H72AaR/ECOSQ8Rzfp68tH4BCe8Xqb
4CZIPkUlBratfZdxT2Dkuf/hva7IwnhLonWot8Jj7P+d4GbLgivUglGcik1T+zr0Qppceztri/4E
KvjQeXlbRGMvC8HEft/Rxt3aRr+Li+guCeI8+/AeZe0u3hc3aNlOsdTCKF1yA3tKIxwbzJnjBovb
wBn40Xj/rWpDsLNLAKVgI+IUr2mkcNgHW9VoVDyqoRHqKss+pFMJjgWREapJjumZR9L/z2y69OyR
D+Y9V84V+qTABJjAKh/EV4qmzL1onKwBXFhYn57c50PhKeeVHReTgL7bQfSxENSK6teKma4uQ1oN
D8WjTZcSaLF7yfCxmudn035gXNHUSb2bzpMpFI0kdWLSgnHfO7Y1YeS0mTN78PeUC83hBBBGc3/2
gAvjLcTAhD7WSk4YBOzsgVn1M1llcyUw/J+rZVhch8M5+P4VXkx5RlYN8rJrC9zcibGksMNWKRn6
k8astFrokek4BiIooEiBGuF3vWelq+tp7vi9h5IgkB6fagtv6ID+yoFjLIf0LhBADf63rMbG/Enm
QDhqA2hDiomo7idZEebZtjBSflrP7sfkn31pv6BNo/ef2KF+n1bnO8vhaVD1iPfJCF0erBhPsBzq
kUGghUyGSdKEC0sUJpTDrz/uOc4RmCkIPGDpqK81bmtHSW+pYf8TrvW5/zuNJxglRZzL9+AFbc4R
7FfDFtcjeqmDloRnHWjOkYH/AmeEtX5Gcj0tHSgq8DCNOGN9rW/4n9eBO2ZbOQmyXASjfHd3UUHY
8OL+ihZaMp610Keq2OFQTDxgfeFz7mrBlnBxWohS3/KkJW74C2mBQGDX5QCNJwlHk0wN7PHyailB
VR0IPS1WjK6u58Ku8XtagK9Yhf1T/W8vh9ZrnNSW6nL84T1+uM6gO00F3TrS6fdAkTh5P3mxge9O
Bc70RwaHPM4gMtVaa+nXmgoapRNrS7U+0D29mZdmoaXJ5wWhqbAXaTYlF+uHbM8FTKNGZs4hTrLW
Ev7Yr6UFDmN2m3HgDeP4thYsuUGw00DoWV885e5csEnU06LSqiv95Vz4b20QrSd4XhHwmsguA91W
hHJEFxBzuwm+sAuWdWTDZsVcAO4rr19uLtDKQUYROmlBM8BQyF612uYpW3aBVricyTmgQExRXzj2
v9aKAKkmWcC6aYF135cOE7xh9dVymeQJ7glj8qs9v0m8quPz6/oRrhDtUSS0vb5aFoGGyJhFduO/
7yj8BW/iyQcf+EE4rr3vYJK95qS/9YXtVvzy843HKfdRjr5PZ+j6i9IZX997bVrk3781jE7tC+18
uPWNdn++ecCXt351UNv/vAgmwhUj2oHV+/xmmLduhAf/r9D97jYJzdmvMHjPI/nwvjHOnff/E8HZ
zN3KkTohbMF20lkuLMdJk9+GUgm2je6CZ26cudlWUj1kohjbv189Tj2Zgn2qGLhh8CMRLcTa2t/s
OmqiCYlwx412RpRkYqW6S6aKZpQHo6JxWKCCnt2pq/CTSeiWrphsJUll27bstNRZ8uaA8y758Q7l
FNH3JlCQKPMBZuEZWg/Gzem9PkV1Hf/5JAHd2JQMiAaz21XyBRoPgq2cenprda1vV8GXY5oiNOTq
NeKxs9wQJqskaK5IfNIDzL/LeBy4LSsikaLbp/jni/0yKZsvD4ZSHJ2uurh+aZtMtX+A9XLNyIrR
rNoOsZ4Xa8+/65g/JkWQvVCzQwhge7N/ruYbN4gb1kOl7O4AC/vGpfWPG4+3I5TqoODvEK/wxs0y
d+QX2STPG3Oacnf9ECoJRn7guU1KXUIOB9gLbgJZUdniF+gTxTjAgrkJMqAasLamDdsEOFRGE7vO
QSk9KURb9EEGnsR5y4aQT7Wd7oO+nXwXbst72oRru+rjdrJwm/sW+QqZo+kuuHx34UZpRl1+Y2Ei
X0aADiH/aiKyScNSAUOVTBGHEH4zWQajxjaGcBkXPYTwb0CftpJqk0Kq+wDG+xa6q9c5HzcH9s5j
r2/wklsE8f0DuCRvNeJ8u0zkLznc+9o0dRX9Jmt5R8F3FK1nVbhwW8eETfyp64u895Px5N1l9mJv
gwf0AC/y4afkox3Vs77By4m4JbnpKH4vZUBn2cvmqXITXu76Sj/nrr9rUzbRqa5iv0xExM7WkMxW
fABDuK9uq6OOv7rsOxCjNZN7m2xGV418nWT5u1cHD/ziAIeRr0E2SmI65jR0vo61dR7722CSvSp/
LdL0lK57GX/aZqBe+1kzuCa/MQonrvjt3wAAAP//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76200</xdr:colOff>
      <xdr:row>2</xdr:row>
      <xdr:rowOff>163830</xdr:rowOff>
    </xdr:from>
    <xdr:to>
      <xdr:col>12</xdr:col>
      <xdr:colOff>381000</xdr:colOff>
      <xdr:row>18</xdr:row>
      <xdr:rowOff>15240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A959912-E223-41D6-B9C1-6D56A9F823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5360" y="529590"/>
              <a:ext cx="3352800" cy="2777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3</xdr:row>
      <xdr:rowOff>118110</xdr:rowOff>
    </xdr:from>
    <xdr:to>
      <xdr:col>11</xdr:col>
      <xdr:colOff>7620</xdr:colOff>
      <xdr:row>18</xdr:row>
      <xdr:rowOff>60960</xdr:rowOff>
    </xdr:to>
    <xdr:graphicFrame macro="">
      <xdr:nvGraphicFramePr>
        <xdr:cNvPr id="2" name="Chart 1">
          <a:extLst>
            <a:ext uri="{FF2B5EF4-FFF2-40B4-BE49-F238E27FC236}">
              <a16:creationId xmlns:a16="http://schemas.microsoft.com/office/drawing/2014/main" id="{FC37DEE8-064F-479B-8A10-1CED20230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1</xdr:row>
      <xdr:rowOff>133350</xdr:rowOff>
    </xdr:from>
    <xdr:to>
      <xdr:col>15</xdr:col>
      <xdr:colOff>137160</xdr:colOff>
      <xdr:row>16</xdr:row>
      <xdr:rowOff>0</xdr:rowOff>
    </xdr:to>
    <xdr:graphicFrame macro="">
      <xdr:nvGraphicFramePr>
        <xdr:cNvPr id="4" name="Chart 3">
          <a:extLst>
            <a:ext uri="{FF2B5EF4-FFF2-40B4-BE49-F238E27FC236}">
              <a16:creationId xmlns:a16="http://schemas.microsoft.com/office/drawing/2014/main" id="{233F6F78-B6C8-4652-A301-CD95B332D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xdr:colOff>
      <xdr:row>2</xdr:row>
      <xdr:rowOff>156210</xdr:rowOff>
    </xdr:from>
    <xdr:to>
      <xdr:col>13</xdr:col>
      <xdr:colOff>236220</xdr:colOff>
      <xdr:row>14</xdr:row>
      <xdr:rowOff>167640</xdr:rowOff>
    </xdr:to>
    <xdr:graphicFrame macro="">
      <xdr:nvGraphicFramePr>
        <xdr:cNvPr id="2" name="Chart 1">
          <a:extLst>
            <a:ext uri="{FF2B5EF4-FFF2-40B4-BE49-F238E27FC236}">
              <a16:creationId xmlns:a16="http://schemas.microsoft.com/office/drawing/2014/main" id="{8A3FA076-C023-4597-963A-6497781CE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220980</xdr:colOff>
      <xdr:row>2</xdr:row>
      <xdr:rowOff>171450</xdr:rowOff>
    </xdr:from>
    <xdr:to>
      <xdr:col>14</xdr:col>
      <xdr:colOff>525780</xdr:colOff>
      <xdr:row>17</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08CDAD9-D5E6-492D-AE01-53E41B8AEB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8240" y="5372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91440</xdr:colOff>
      <xdr:row>11</xdr:row>
      <xdr:rowOff>156210</xdr:rowOff>
    </xdr:from>
    <xdr:to>
      <xdr:col>9</xdr:col>
      <xdr:colOff>594360</xdr:colOff>
      <xdr:row>24</xdr:row>
      <xdr:rowOff>0</xdr:rowOff>
    </xdr:to>
    <xdr:graphicFrame macro="">
      <xdr:nvGraphicFramePr>
        <xdr:cNvPr id="2" name="Chart 1">
          <a:extLst>
            <a:ext uri="{FF2B5EF4-FFF2-40B4-BE49-F238E27FC236}">
              <a16:creationId xmlns:a16="http://schemas.microsoft.com/office/drawing/2014/main" id="{51AACA34-574C-4E8F-910D-AB4BAB056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571500</xdr:colOff>
      <xdr:row>0</xdr:row>
      <xdr:rowOff>15240</xdr:rowOff>
    </xdr:from>
    <xdr:to>
      <xdr:col>22</xdr:col>
      <xdr:colOff>571500</xdr:colOff>
      <xdr:row>3</xdr:row>
      <xdr:rowOff>137160</xdr:rowOff>
    </xdr:to>
    <xdr:sp macro="" textlink="">
      <xdr:nvSpPr>
        <xdr:cNvPr id="2" name="Rectangle: Rounded Corners 1">
          <a:extLst>
            <a:ext uri="{FF2B5EF4-FFF2-40B4-BE49-F238E27FC236}">
              <a16:creationId xmlns:a16="http://schemas.microsoft.com/office/drawing/2014/main" id="{F856AF17-A9C5-4221-9078-9C7B2BE4E51B}"/>
            </a:ext>
          </a:extLst>
        </xdr:cNvPr>
        <xdr:cNvSpPr/>
      </xdr:nvSpPr>
      <xdr:spPr>
        <a:xfrm>
          <a:off x="571500" y="15240"/>
          <a:ext cx="13411200" cy="670560"/>
        </a:xfrm>
        <a:prstGeom prst="roundRect">
          <a:avLst/>
        </a:prstGeom>
        <a:solidFill>
          <a:srgbClr val="00B0F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15241</xdr:colOff>
      <xdr:row>0</xdr:row>
      <xdr:rowOff>129540</xdr:rowOff>
    </xdr:from>
    <xdr:ext cx="4518659" cy="434340"/>
    <xdr:sp macro="" textlink="">
      <xdr:nvSpPr>
        <xdr:cNvPr id="3" name="Rectangle 2">
          <a:extLst>
            <a:ext uri="{FF2B5EF4-FFF2-40B4-BE49-F238E27FC236}">
              <a16:creationId xmlns:a16="http://schemas.microsoft.com/office/drawing/2014/main" id="{784B4D44-028B-4A59-B431-EB573D194198}"/>
            </a:ext>
          </a:extLst>
        </xdr:cNvPr>
        <xdr:cNvSpPr/>
      </xdr:nvSpPr>
      <xdr:spPr>
        <a:xfrm>
          <a:off x="624841" y="129540"/>
          <a:ext cx="4518659" cy="434340"/>
        </a:xfrm>
        <a:prstGeom prst="rect">
          <a:avLst/>
        </a:prstGeom>
        <a:noFill/>
      </xdr:spPr>
      <xdr:txBody>
        <a:bodyPr wrap="none" lIns="91440" tIns="45720" rIns="91440" bIns="45720" anchor="ctr">
          <a:no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Sales</a:t>
          </a:r>
          <a:r>
            <a:rPr lang="en-US" sz="3600" b="0" cap="none" spc="0" baseline="0">
              <a:ln w="0"/>
              <a:solidFill>
                <a:schemeClr val="tx1"/>
              </a:solidFill>
              <a:effectLst>
                <a:outerShdw blurRad="38100" dist="19050" dir="2700000" algn="tl" rotWithShape="0">
                  <a:schemeClr val="dk1">
                    <a:alpha val="40000"/>
                  </a:schemeClr>
                </a:outerShdw>
              </a:effectLst>
            </a:rPr>
            <a:t> Dashboard_2026</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8</xdr:col>
      <xdr:colOff>274320</xdr:colOff>
      <xdr:row>0</xdr:row>
      <xdr:rowOff>53340</xdr:rowOff>
    </xdr:from>
    <xdr:to>
      <xdr:col>9</xdr:col>
      <xdr:colOff>228600</xdr:colOff>
      <xdr:row>3</xdr:row>
      <xdr:rowOff>68580</xdr:rowOff>
    </xdr:to>
    <xdr:pic>
      <xdr:nvPicPr>
        <xdr:cNvPr id="5" name="Graphic 4" descr="Bar graph with upward trend with solid fill">
          <a:extLst>
            <a:ext uri="{FF2B5EF4-FFF2-40B4-BE49-F238E27FC236}">
              <a16:creationId xmlns:a16="http://schemas.microsoft.com/office/drawing/2014/main" id="{BBFABCC7-53FD-4396-9C32-69FCF954F3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151120" y="53340"/>
          <a:ext cx="563880" cy="563880"/>
        </a:xfrm>
        <a:prstGeom prst="rect">
          <a:avLst/>
        </a:prstGeom>
      </xdr:spPr>
    </xdr:pic>
    <xdr:clientData/>
  </xdr:twoCellAnchor>
  <xdr:twoCellAnchor editAs="oneCell">
    <xdr:from>
      <xdr:col>16</xdr:col>
      <xdr:colOff>548640</xdr:colOff>
      <xdr:row>0</xdr:row>
      <xdr:rowOff>68580</xdr:rowOff>
    </xdr:from>
    <xdr:to>
      <xdr:col>22</xdr:col>
      <xdr:colOff>381000</xdr:colOff>
      <xdr:row>3</xdr:row>
      <xdr:rowOff>83820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C17EF04A-9C32-4F85-A34E-529513AC04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302240" y="68580"/>
              <a:ext cx="348996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0</xdr:row>
      <xdr:rowOff>53340</xdr:rowOff>
    </xdr:from>
    <xdr:to>
      <xdr:col>16</xdr:col>
      <xdr:colOff>396240</xdr:colOff>
      <xdr:row>3</xdr:row>
      <xdr:rowOff>91440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CDB3289B-02D1-453D-B68E-18377C835B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89420" y="53340"/>
              <a:ext cx="336042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586740</xdr:colOff>
      <xdr:row>4</xdr:row>
      <xdr:rowOff>91440</xdr:rowOff>
    </xdr:from>
    <xdr:to>
      <xdr:col>6</xdr:col>
      <xdr:colOff>525780</xdr:colOff>
      <xdr:row>26</xdr:row>
      <xdr:rowOff>7620</xdr:rowOff>
    </xdr:to>
    <xdr:sp macro="" textlink="">
      <xdr:nvSpPr>
        <xdr:cNvPr id="8" name="Rectangle: Rounded Corners 7">
          <a:extLst>
            <a:ext uri="{FF2B5EF4-FFF2-40B4-BE49-F238E27FC236}">
              <a16:creationId xmlns:a16="http://schemas.microsoft.com/office/drawing/2014/main" id="{0B907D61-AE11-4E5A-9D33-1CE5C773114A}"/>
            </a:ext>
          </a:extLst>
        </xdr:cNvPr>
        <xdr:cNvSpPr/>
      </xdr:nvSpPr>
      <xdr:spPr>
        <a:xfrm>
          <a:off x="586740" y="822960"/>
          <a:ext cx="3596640" cy="3939540"/>
        </a:xfrm>
        <a:prstGeom prst="roundRect">
          <a:avLst>
            <a:gd name="adj" fmla="val 3743"/>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60960</xdr:colOff>
      <xdr:row>6</xdr:row>
      <xdr:rowOff>60960</xdr:rowOff>
    </xdr:from>
    <xdr:to>
      <xdr:col>6</xdr:col>
      <xdr:colOff>365760</xdr:colOff>
      <xdr:row>25</xdr:row>
      <xdr:rowOff>76200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A9F8B85-1B70-4A4A-8C7E-B98D3107A2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0560" y="1158240"/>
              <a:ext cx="3352800" cy="3489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60960</xdr:colOff>
      <xdr:row>4</xdr:row>
      <xdr:rowOff>99060</xdr:rowOff>
    </xdr:from>
    <xdr:to>
      <xdr:col>22</xdr:col>
      <xdr:colOff>579120</xdr:colOff>
      <xdr:row>15</xdr:row>
      <xdr:rowOff>22860</xdr:rowOff>
    </xdr:to>
    <xdr:sp macro="" textlink="">
      <xdr:nvSpPr>
        <xdr:cNvPr id="10" name="Rectangle: Rounded Corners 9">
          <a:extLst>
            <a:ext uri="{FF2B5EF4-FFF2-40B4-BE49-F238E27FC236}">
              <a16:creationId xmlns:a16="http://schemas.microsoft.com/office/drawing/2014/main" id="{45B3BCEF-2707-406C-81A5-D00E824509F9}"/>
            </a:ext>
          </a:extLst>
        </xdr:cNvPr>
        <xdr:cNvSpPr/>
      </xdr:nvSpPr>
      <xdr:spPr>
        <a:xfrm>
          <a:off x="4328160" y="830580"/>
          <a:ext cx="9662160" cy="1935480"/>
        </a:xfrm>
        <a:prstGeom prst="roundRect">
          <a:avLst>
            <a:gd name="adj" fmla="val 3743"/>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xdr:colOff>
      <xdr:row>15</xdr:row>
      <xdr:rowOff>91440</xdr:rowOff>
    </xdr:from>
    <xdr:to>
      <xdr:col>14</xdr:col>
      <xdr:colOff>518160</xdr:colOff>
      <xdr:row>26</xdr:row>
      <xdr:rowOff>15240</xdr:rowOff>
    </xdr:to>
    <xdr:sp macro="" textlink="">
      <xdr:nvSpPr>
        <xdr:cNvPr id="12" name="Rectangle: Rounded Corners 11">
          <a:extLst>
            <a:ext uri="{FF2B5EF4-FFF2-40B4-BE49-F238E27FC236}">
              <a16:creationId xmlns:a16="http://schemas.microsoft.com/office/drawing/2014/main" id="{60D4F461-C316-44B6-8454-1A59353B5D83}"/>
            </a:ext>
          </a:extLst>
        </xdr:cNvPr>
        <xdr:cNvSpPr/>
      </xdr:nvSpPr>
      <xdr:spPr>
        <a:xfrm>
          <a:off x="4312920" y="2834640"/>
          <a:ext cx="4739640" cy="1935480"/>
        </a:xfrm>
        <a:prstGeom prst="roundRect">
          <a:avLst>
            <a:gd name="adj" fmla="val 3743"/>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15</xdr:row>
      <xdr:rowOff>91440</xdr:rowOff>
    </xdr:from>
    <xdr:to>
      <xdr:col>22</xdr:col>
      <xdr:colOff>594360</xdr:colOff>
      <xdr:row>26</xdr:row>
      <xdr:rowOff>15240</xdr:rowOff>
    </xdr:to>
    <xdr:sp macro="" textlink="">
      <xdr:nvSpPr>
        <xdr:cNvPr id="13" name="Rectangle: Rounded Corners 12">
          <a:extLst>
            <a:ext uri="{FF2B5EF4-FFF2-40B4-BE49-F238E27FC236}">
              <a16:creationId xmlns:a16="http://schemas.microsoft.com/office/drawing/2014/main" id="{82725DD4-0C01-4E33-A8F7-5ED615CF0082}"/>
            </a:ext>
          </a:extLst>
        </xdr:cNvPr>
        <xdr:cNvSpPr/>
      </xdr:nvSpPr>
      <xdr:spPr>
        <a:xfrm>
          <a:off x="9182100" y="2834640"/>
          <a:ext cx="4823460" cy="1935480"/>
        </a:xfrm>
        <a:prstGeom prst="roundRect">
          <a:avLst>
            <a:gd name="adj" fmla="val 3743"/>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175260</xdr:colOff>
      <xdr:row>17</xdr:row>
      <xdr:rowOff>0</xdr:rowOff>
    </xdr:from>
    <xdr:to>
      <xdr:col>14</xdr:col>
      <xdr:colOff>220980</xdr:colOff>
      <xdr:row>26</xdr:row>
      <xdr:rowOff>0</xdr:rowOff>
    </xdr:to>
    <xdr:graphicFrame macro="">
      <xdr:nvGraphicFramePr>
        <xdr:cNvPr id="14" name="Chart 13">
          <a:extLst>
            <a:ext uri="{FF2B5EF4-FFF2-40B4-BE49-F238E27FC236}">
              <a16:creationId xmlns:a16="http://schemas.microsoft.com/office/drawing/2014/main" id="{8DAAB4AC-F448-4629-A96C-03F5F6961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274320</xdr:colOff>
      <xdr:row>5</xdr:row>
      <xdr:rowOff>144780</xdr:rowOff>
    </xdr:from>
    <xdr:to>
      <xdr:col>18</xdr:col>
      <xdr:colOff>60960</xdr:colOff>
      <xdr:row>14</xdr:row>
      <xdr:rowOff>152400</xdr:rowOff>
    </xdr:to>
    <xdr:graphicFrame macro="">
      <xdr:nvGraphicFramePr>
        <xdr:cNvPr id="15" name="Chart 14">
          <a:extLst>
            <a:ext uri="{FF2B5EF4-FFF2-40B4-BE49-F238E27FC236}">
              <a16:creationId xmlns:a16="http://schemas.microsoft.com/office/drawing/2014/main" id="{36350316-AA5F-488E-A7AD-1D2AB87B6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121920</xdr:colOff>
      <xdr:row>6</xdr:row>
      <xdr:rowOff>0</xdr:rowOff>
    </xdr:from>
    <xdr:to>
      <xdr:col>12</xdr:col>
      <xdr:colOff>175260</xdr:colOff>
      <xdr:row>14</xdr:row>
      <xdr:rowOff>137160</xdr:rowOff>
    </xdr:to>
    <xdr:graphicFrame macro="">
      <xdr:nvGraphicFramePr>
        <xdr:cNvPr id="16" name="Chart 15">
          <a:extLst>
            <a:ext uri="{FF2B5EF4-FFF2-40B4-BE49-F238E27FC236}">
              <a16:creationId xmlns:a16="http://schemas.microsoft.com/office/drawing/2014/main" id="{24EBFD9E-A63A-414B-9196-10B9F3A9A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137160</xdr:colOff>
      <xdr:row>17</xdr:row>
      <xdr:rowOff>7620</xdr:rowOff>
    </xdr:from>
    <xdr:to>
      <xdr:col>22</xdr:col>
      <xdr:colOff>480060</xdr:colOff>
      <xdr:row>25</xdr:row>
      <xdr:rowOff>129540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F647D3ED-F6D2-42D9-8C5C-148099CC1A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281160" y="3116580"/>
              <a:ext cx="4610100" cy="1584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121920</xdr:colOff>
      <xdr:row>5</xdr:row>
      <xdr:rowOff>144780</xdr:rowOff>
    </xdr:from>
    <xdr:to>
      <xdr:col>22</xdr:col>
      <xdr:colOff>472440</xdr:colOff>
      <xdr:row>14</xdr:row>
      <xdr:rowOff>144780</xdr:rowOff>
    </xdr:to>
    <xdr:graphicFrame macro="">
      <xdr:nvGraphicFramePr>
        <xdr:cNvPr id="18" name="Chart 17">
          <a:extLst>
            <a:ext uri="{FF2B5EF4-FFF2-40B4-BE49-F238E27FC236}">
              <a16:creationId xmlns:a16="http://schemas.microsoft.com/office/drawing/2014/main" id="{5B83CD22-67FE-4BCC-B567-1E7A0E918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xdr:col>
      <xdr:colOff>439155</xdr:colOff>
      <xdr:row>4</xdr:row>
      <xdr:rowOff>83635</xdr:rowOff>
    </xdr:from>
    <xdr:ext cx="1651542" cy="342786"/>
    <xdr:sp macro="" textlink="">
      <xdr:nvSpPr>
        <xdr:cNvPr id="19" name="Rectangle 18">
          <a:extLst>
            <a:ext uri="{FF2B5EF4-FFF2-40B4-BE49-F238E27FC236}">
              <a16:creationId xmlns:a16="http://schemas.microsoft.com/office/drawing/2014/main" id="{B6DD1FEB-E13F-4651-B082-BA46F50283AD}"/>
            </a:ext>
          </a:extLst>
        </xdr:cNvPr>
        <xdr:cNvSpPr/>
      </xdr:nvSpPr>
      <xdr:spPr>
        <a:xfrm>
          <a:off x="1658355" y="815155"/>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66854</xdr:colOff>
      <xdr:row>15</xdr:row>
      <xdr:rowOff>76200</xdr:rowOff>
    </xdr:from>
    <xdr:ext cx="1710340" cy="264780"/>
    <xdr:sp macro="" textlink="">
      <xdr:nvSpPr>
        <xdr:cNvPr id="22" name="Rectangle 21">
          <a:extLst>
            <a:ext uri="{FF2B5EF4-FFF2-40B4-BE49-F238E27FC236}">
              <a16:creationId xmlns:a16="http://schemas.microsoft.com/office/drawing/2014/main" id="{B098ABAA-61C7-41C5-8225-FBA2BDA8EB74}"/>
            </a:ext>
          </a:extLst>
        </xdr:cNvPr>
        <xdr:cNvSpPr/>
      </xdr:nvSpPr>
      <xdr:spPr>
        <a:xfrm>
          <a:off x="4334054" y="2819400"/>
          <a:ext cx="1710340" cy="264780"/>
        </a:xfrm>
        <a:prstGeom prst="rect">
          <a:avLst/>
        </a:prstGeom>
        <a:noFill/>
      </xdr:spPr>
      <xdr:txBody>
        <a:bodyPr wrap="non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Profit</a:t>
          </a:r>
          <a:r>
            <a:rPr lang="en-US" sz="1200" b="0" cap="none" spc="0" baseline="0">
              <a:ln w="0"/>
              <a:solidFill>
                <a:schemeClr val="tx1"/>
              </a:solidFill>
              <a:effectLst>
                <a:outerShdw blurRad="38100" dist="19050" dir="2700000" algn="tl" rotWithShape="0">
                  <a:schemeClr val="dk1">
                    <a:alpha val="40000"/>
                  </a:schemeClr>
                </a:outerShdw>
              </a:effectLst>
            </a:rPr>
            <a:t> Gain/Loss by Time</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281831</xdr:colOff>
      <xdr:row>4</xdr:row>
      <xdr:rowOff>60775</xdr:rowOff>
    </xdr:from>
    <xdr:ext cx="1067023" cy="280205"/>
    <xdr:sp macro="" textlink="">
      <xdr:nvSpPr>
        <xdr:cNvPr id="28" name="Rectangle 27">
          <a:extLst>
            <a:ext uri="{FF2B5EF4-FFF2-40B4-BE49-F238E27FC236}">
              <a16:creationId xmlns:a16="http://schemas.microsoft.com/office/drawing/2014/main" id="{095F4F86-7B9E-433C-A83D-8A6B209372FA}"/>
            </a:ext>
          </a:extLst>
        </xdr:cNvPr>
        <xdr:cNvSpPr/>
      </xdr:nvSpPr>
      <xdr:spPr>
        <a:xfrm>
          <a:off x="8816231" y="792295"/>
          <a:ext cx="1067023" cy="280205"/>
        </a:xfrm>
        <a:prstGeom prst="rect">
          <a:avLst/>
        </a:prstGeom>
        <a:noFill/>
      </xdr:spPr>
      <xdr:txBody>
        <a:bodyPr wrap="non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Monthly</a:t>
          </a:r>
          <a:r>
            <a:rPr lang="en-US" sz="1200" b="0" cap="none" spc="0" baseline="0">
              <a:ln w="0"/>
              <a:solidFill>
                <a:schemeClr val="tx1"/>
              </a:solidFill>
              <a:effectLst>
                <a:outerShdw blurRad="38100" dist="19050" dir="2700000" algn="tl" rotWithShape="0">
                  <a:schemeClr val="dk1">
                    <a:alpha val="40000"/>
                  </a:schemeClr>
                </a:outerShdw>
              </a:effectLst>
            </a:rPr>
            <a:t> Sales</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597566</xdr:colOff>
      <xdr:row>4</xdr:row>
      <xdr:rowOff>53155</xdr:rowOff>
    </xdr:from>
    <xdr:ext cx="1852880" cy="280205"/>
    <xdr:sp macro="" textlink="">
      <xdr:nvSpPr>
        <xdr:cNvPr id="29" name="Rectangle 28">
          <a:extLst>
            <a:ext uri="{FF2B5EF4-FFF2-40B4-BE49-F238E27FC236}">
              <a16:creationId xmlns:a16="http://schemas.microsoft.com/office/drawing/2014/main" id="{5254C151-56BD-48EA-8E0D-A13CA7D406CE}"/>
            </a:ext>
          </a:extLst>
        </xdr:cNvPr>
        <xdr:cNvSpPr/>
      </xdr:nvSpPr>
      <xdr:spPr>
        <a:xfrm>
          <a:off x="11570366" y="784675"/>
          <a:ext cx="1852880" cy="280205"/>
        </a:xfrm>
        <a:prstGeom prst="rect">
          <a:avLst/>
        </a:prstGeom>
        <a:noFill/>
      </xdr:spPr>
      <xdr:txBody>
        <a:bodyPr wrap="non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Count</a:t>
          </a:r>
          <a:r>
            <a:rPr lang="en-US" sz="1200" b="0" cap="none" spc="0" baseline="0">
              <a:ln w="0"/>
              <a:solidFill>
                <a:schemeClr val="tx1"/>
              </a:solidFill>
              <a:effectLst>
                <a:outerShdw blurRad="38100" dist="19050" dir="2700000" algn="tl" rotWithShape="0">
                  <a:schemeClr val="dk1">
                    <a:alpha val="40000"/>
                  </a:schemeClr>
                </a:outerShdw>
              </a:effectLst>
            </a:rPr>
            <a:t> of customer By Year</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106680</xdr:colOff>
      <xdr:row>4</xdr:row>
      <xdr:rowOff>76201</xdr:rowOff>
    </xdr:from>
    <xdr:ext cx="1699260" cy="251460"/>
    <xdr:sp macro="" textlink="">
      <xdr:nvSpPr>
        <xdr:cNvPr id="31" name="Rectangle 30">
          <a:extLst>
            <a:ext uri="{FF2B5EF4-FFF2-40B4-BE49-F238E27FC236}">
              <a16:creationId xmlns:a16="http://schemas.microsoft.com/office/drawing/2014/main" id="{216AFF1C-9B09-4B52-B65F-54E569E5B5E4}"/>
            </a:ext>
          </a:extLst>
        </xdr:cNvPr>
        <xdr:cNvSpPr/>
      </xdr:nvSpPr>
      <xdr:spPr>
        <a:xfrm>
          <a:off x="4373880" y="807721"/>
          <a:ext cx="1699260" cy="251460"/>
        </a:xfrm>
        <a:prstGeom prst="rect">
          <a:avLst/>
        </a:prstGeom>
        <a:noFill/>
      </xdr:spPr>
      <xdr:txBody>
        <a:bodyPr wrap="non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Top</a:t>
          </a:r>
          <a:r>
            <a:rPr lang="en-US" sz="1200" b="0" cap="none" spc="0" baseline="0">
              <a:ln w="0"/>
              <a:solidFill>
                <a:schemeClr val="tx1"/>
              </a:solidFill>
              <a:effectLst>
                <a:outerShdw blurRad="38100" dist="19050" dir="2700000" algn="tl" rotWithShape="0">
                  <a:schemeClr val="dk1">
                    <a:alpha val="40000"/>
                  </a:schemeClr>
                </a:outerShdw>
              </a:effectLst>
            </a:rPr>
            <a:t> 3 Customer By Sales</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53340</xdr:colOff>
      <xdr:row>15</xdr:row>
      <xdr:rowOff>91440</xdr:rowOff>
    </xdr:from>
    <xdr:ext cx="1127760" cy="280205"/>
    <xdr:sp macro="" textlink="">
      <xdr:nvSpPr>
        <xdr:cNvPr id="32" name="Rectangle 31">
          <a:extLst>
            <a:ext uri="{FF2B5EF4-FFF2-40B4-BE49-F238E27FC236}">
              <a16:creationId xmlns:a16="http://schemas.microsoft.com/office/drawing/2014/main" id="{BC61E0B2-02DC-48E5-B9F9-8969E7DA2DFB}"/>
            </a:ext>
          </a:extLst>
        </xdr:cNvPr>
        <xdr:cNvSpPr/>
      </xdr:nvSpPr>
      <xdr:spPr>
        <a:xfrm>
          <a:off x="9197340" y="2834640"/>
          <a:ext cx="1127760" cy="280205"/>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Sales</a:t>
          </a:r>
          <a:r>
            <a:rPr lang="en-US" sz="1200" b="0" cap="none" spc="0" baseline="0">
              <a:ln w="0"/>
              <a:solidFill>
                <a:schemeClr val="tx1"/>
              </a:solidFill>
              <a:effectLst>
                <a:outerShdw blurRad="38100" dist="19050" dir="2700000" algn="tl" rotWithShape="0">
                  <a:schemeClr val="dk1">
                    <a:alpha val="40000"/>
                  </a:schemeClr>
                </a:outerShdw>
              </a:effectLst>
            </a:rPr>
            <a:t> By State</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ud" refreshedDate="46051.755930439816" createdVersion="7" refreshedVersion="7" minRefreshableVersion="3" recordCount="1000" xr:uid="{66D8A24B-A1C3-4295-8481-6B836DAE3D88}">
  <cacheSource type="worksheet">
    <worksheetSource name="SalesData"/>
  </cacheSource>
  <cacheFields count="11">
    <cacheField name="Order Date" numFmtId="164">
      <sharedItems containsSemiMixedTypes="0" containsNonDate="0" containsDate="1" containsString="0" minDate="2014-01-02T00:00:00" maxDate="2017-04-16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10">
        <s v="Andrew Allen"/>
        <s v="Brosina Hoffman"/>
        <s v="Sean O'Donnell"/>
        <s v="Ken Black"/>
        <s v="Tracy Blumstein"/>
        <s v="Claire Gute"/>
        <s v="Eric Hoffmann"/>
        <s v="Harold Pawlan"/>
        <s v="Darrin Van Huff"/>
        <s v="Irene Maddox"/>
      </sharedItems>
    </cacheField>
    <cacheField name="State" numFmtId="0">
      <sharedItems count="10">
        <s v="Nebraska"/>
        <s v="Utah"/>
        <s v="Pennsylvania"/>
        <s v="Kentucky"/>
        <s v="Florida"/>
        <s v="California"/>
        <s v="Texas"/>
        <s v="Wisconsin"/>
        <s v="Washington"/>
        <s v="North Carolina"/>
      </sharedItems>
    </cacheField>
    <cacheField name="Category" numFmtId="0">
      <sharedItems count="3">
        <s v="Furniture"/>
        <s v="Technology"/>
        <s v="Office Supplies"/>
      </sharedItems>
    </cacheField>
    <cacheField name="Sub-Category" numFmtId="0">
      <sharedItems count="12">
        <s v="Furnishings"/>
        <s v="Phones"/>
        <s v="Bookcases"/>
        <s v="Binders"/>
        <s v="Paper"/>
        <s v="Chairs"/>
        <s v="Art"/>
        <s v="Storage"/>
        <s v="Accessories"/>
        <s v="Tables"/>
        <s v="Copiers"/>
        <s v="Labels"/>
      </sharedItems>
    </cacheField>
    <cacheField name="Product Name" numFmtId="0">
      <sharedItems/>
    </cacheField>
    <cacheField name="Sales" numFmtId="0">
      <sharedItems containsSemiMixedTypes="0" containsString="0" containsNumber="1" minValue="5.23" maxValue="1199.0899999999999"/>
    </cacheField>
    <cacheField name="Quantity" numFmtId="0">
      <sharedItems containsSemiMixedTypes="0" containsString="0" containsNumber="1" containsInteger="1" minValue="1" maxValue="10"/>
    </cacheField>
    <cacheField name="Profit" numFmtId="0">
      <sharedItems containsSemiMixedTypes="0" containsString="0" containsNumber="1" minValue="-423.21039999999999" maxValue="386.20920000000001"/>
    </cacheField>
  </cacheFields>
  <extLst>
    <ext xmlns:x14="http://schemas.microsoft.com/office/spreadsheetml/2009/9/main" uri="{725AE2AE-9491-48be-B2B4-4EB974FC3084}">
      <x14:pivotCacheDefinition pivotCacheId="182147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ud" refreshedDate="46051.785931018516" createdVersion="7" refreshedVersion="7" minRefreshableVersion="3" recordCount="40" xr:uid="{91F50246-8A8E-4864-956A-10AD3E7929D4}">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4-01-02T00:00:00"/>
    <x v="0"/>
    <x v="0"/>
    <x v="0"/>
    <x v="0"/>
    <x v="0"/>
    <x v="0"/>
    <s v="Desk Lamp"/>
    <n v="1119.81"/>
    <n v="7"/>
    <n v="-224.15530000000001"/>
  </r>
  <r>
    <d v="2014-01-03T00:00:00"/>
    <x v="0"/>
    <x v="0"/>
    <x v="1"/>
    <x v="1"/>
    <x v="1"/>
    <x v="1"/>
    <s v="IP Phone"/>
    <n v="260.04000000000002"/>
    <n v="2"/>
    <n v="-78.135599999999997"/>
  </r>
  <r>
    <d v="2014-01-03T00:00:00"/>
    <x v="0"/>
    <x v="0"/>
    <x v="2"/>
    <x v="1"/>
    <x v="0"/>
    <x v="2"/>
    <s v="Metal Bookcase"/>
    <n v="1033.1600000000001"/>
    <n v="2"/>
    <n v="-115.0326"/>
  </r>
  <r>
    <d v="2014-01-04T00:00:00"/>
    <x v="0"/>
    <x v="0"/>
    <x v="2"/>
    <x v="2"/>
    <x v="0"/>
    <x v="2"/>
    <s v="Wood Bookcase"/>
    <n v="146.26"/>
    <n v="8"/>
    <n v="10.1059"/>
  </r>
  <r>
    <d v="2014-01-05T00:00:00"/>
    <x v="0"/>
    <x v="0"/>
    <x v="3"/>
    <x v="2"/>
    <x v="2"/>
    <x v="3"/>
    <s v="Ring Binder"/>
    <n v="732.5"/>
    <n v="1"/>
    <n v="202.2313"/>
  </r>
  <r>
    <d v="2014-01-05T00:00:00"/>
    <x v="0"/>
    <x v="0"/>
    <x v="4"/>
    <x v="2"/>
    <x v="2"/>
    <x v="4"/>
    <s v="Premium Paper"/>
    <n v="1125.78"/>
    <n v="1"/>
    <n v="270.63170000000002"/>
  </r>
  <r>
    <d v="2014-01-06T00:00:00"/>
    <x v="0"/>
    <x v="0"/>
    <x v="2"/>
    <x v="3"/>
    <x v="0"/>
    <x v="5"/>
    <s v="Ergo Chair"/>
    <n v="493.18"/>
    <n v="10"/>
    <n v="-23.458400000000001"/>
  </r>
  <r>
    <d v="2014-01-09T00:00:00"/>
    <x v="0"/>
    <x v="0"/>
    <x v="5"/>
    <x v="0"/>
    <x v="2"/>
    <x v="4"/>
    <s v="A4 Paper Pack"/>
    <n v="376.62"/>
    <n v="1"/>
    <n v="43.420200000000001"/>
  </r>
  <r>
    <d v="2014-01-09T00:00:00"/>
    <x v="0"/>
    <x v="0"/>
    <x v="3"/>
    <x v="4"/>
    <x v="2"/>
    <x v="6"/>
    <s v="Marker Set"/>
    <n v="1164.33"/>
    <n v="9"/>
    <n v="386.20920000000001"/>
  </r>
  <r>
    <d v="2014-01-11T00:00:00"/>
    <x v="0"/>
    <x v="0"/>
    <x v="6"/>
    <x v="5"/>
    <x v="0"/>
    <x v="0"/>
    <s v="Wall Frame"/>
    <n v="966.22"/>
    <n v="3"/>
    <n v="-44.686199999999999"/>
  </r>
  <r>
    <d v="2014-01-12T00:00:00"/>
    <x v="0"/>
    <x v="0"/>
    <x v="7"/>
    <x v="0"/>
    <x v="2"/>
    <x v="7"/>
    <s v="Storage Box"/>
    <n v="1071.73"/>
    <n v="2"/>
    <n v="197.00040000000001"/>
  </r>
  <r>
    <d v="2014-01-13T00:00:00"/>
    <x v="0"/>
    <x v="0"/>
    <x v="6"/>
    <x v="5"/>
    <x v="1"/>
    <x v="8"/>
    <s v="Keyboard"/>
    <n v="1131.58"/>
    <n v="5"/>
    <n v="186.83099999999999"/>
  </r>
  <r>
    <d v="2014-01-14T00:00:00"/>
    <x v="0"/>
    <x v="0"/>
    <x v="6"/>
    <x v="0"/>
    <x v="1"/>
    <x v="8"/>
    <s v="USB Drive"/>
    <n v="640.99"/>
    <n v="7"/>
    <n v="-250.6987"/>
  </r>
  <r>
    <d v="2014-01-14T00:00:00"/>
    <x v="0"/>
    <x v="0"/>
    <x v="8"/>
    <x v="6"/>
    <x v="0"/>
    <x v="0"/>
    <s v="Wall Frame"/>
    <n v="918.27"/>
    <n v="9"/>
    <n v="292.46420000000001"/>
  </r>
  <r>
    <d v="2014-01-14T00:00:00"/>
    <x v="0"/>
    <x v="0"/>
    <x v="6"/>
    <x v="5"/>
    <x v="1"/>
    <x v="1"/>
    <s v="Business Phone"/>
    <n v="363.9"/>
    <n v="4"/>
    <n v="-86.929500000000004"/>
  </r>
  <r>
    <d v="2014-01-16T00:00:00"/>
    <x v="0"/>
    <x v="0"/>
    <x v="4"/>
    <x v="2"/>
    <x v="2"/>
    <x v="4"/>
    <s v="A4 Paper Pack"/>
    <n v="616.26"/>
    <n v="6"/>
    <n v="12.998699999999999"/>
  </r>
  <r>
    <d v="2014-01-17T00:00:00"/>
    <x v="0"/>
    <x v="0"/>
    <x v="1"/>
    <x v="7"/>
    <x v="1"/>
    <x v="8"/>
    <s v="USB Drive"/>
    <n v="836.24"/>
    <n v="2"/>
    <n v="285.255"/>
  </r>
  <r>
    <d v="2014-01-17T00:00:00"/>
    <x v="0"/>
    <x v="0"/>
    <x v="8"/>
    <x v="7"/>
    <x v="0"/>
    <x v="0"/>
    <s v="Office Clock"/>
    <n v="1092.2"/>
    <n v="7"/>
    <n v="322.8877"/>
  </r>
  <r>
    <d v="2014-01-18T00:00:00"/>
    <x v="0"/>
    <x v="0"/>
    <x v="5"/>
    <x v="0"/>
    <x v="0"/>
    <x v="9"/>
    <s v="Round Table"/>
    <n v="272.41000000000003"/>
    <n v="10"/>
    <n v="55.521000000000001"/>
  </r>
  <r>
    <d v="2014-01-20T00:00:00"/>
    <x v="0"/>
    <x v="0"/>
    <x v="7"/>
    <x v="3"/>
    <x v="0"/>
    <x v="9"/>
    <s v="Work Table"/>
    <n v="216.05"/>
    <n v="8"/>
    <n v="-64.630499999999998"/>
  </r>
  <r>
    <d v="2014-01-22T00:00:00"/>
    <x v="0"/>
    <x v="0"/>
    <x v="7"/>
    <x v="6"/>
    <x v="1"/>
    <x v="8"/>
    <s v="USB Drive"/>
    <n v="546.83000000000004"/>
    <n v="8"/>
    <n v="107.38290000000001"/>
  </r>
  <r>
    <d v="2014-01-23T00:00:00"/>
    <x v="0"/>
    <x v="0"/>
    <x v="2"/>
    <x v="8"/>
    <x v="1"/>
    <x v="10"/>
    <s v="Laser Copier"/>
    <n v="666.46"/>
    <n v="9"/>
    <n v="-195.91900000000001"/>
  </r>
  <r>
    <d v="2014-01-24T00:00:00"/>
    <x v="0"/>
    <x v="0"/>
    <x v="7"/>
    <x v="4"/>
    <x v="1"/>
    <x v="10"/>
    <s v="Office Copier"/>
    <n v="773.86"/>
    <n v="3"/>
    <n v="-16.115100000000002"/>
  </r>
  <r>
    <d v="2014-01-26T00:00:00"/>
    <x v="0"/>
    <x v="0"/>
    <x v="3"/>
    <x v="5"/>
    <x v="0"/>
    <x v="2"/>
    <s v="Metal Bookcase"/>
    <n v="846.96"/>
    <n v="9"/>
    <n v="148.76560000000001"/>
  </r>
  <r>
    <d v="2014-01-29T00:00:00"/>
    <x v="0"/>
    <x v="0"/>
    <x v="7"/>
    <x v="8"/>
    <x v="0"/>
    <x v="9"/>
    <s v="Conference Table"/>
    <n v="233.01"/>
    <n v="1"/>
    <n v="28.4329"/>
  </r>
  <r>
    <d v="2014-02-08T00:00:00"/>
    <x v="0"/>
    <x v="1"/>
    <x v="3"/>
    <x v="0"/>
    <x v="1"/>
    <x v="1"/>
    <s v="IP Phone"/>
    <n v="310.83"/>
    <n v="3"/>
    <n v="3.6065999999999998"/>
  </r>
  <r>
    <d v="2014-02-08T00:00:00"/>
    <x v="0"/>
    <x v="1"/>
    <x v="8"/>
    <x v="1"/>
    <x v="1"/>
    <x v="1"/>
    <s v="IP Phone"/>
    <n v="930.76"/>
    <n v="7"/>
    <n v="-342.62419999999997"/>
  </r>
  <r>
    <d v="2014-02-10T00:00:00"/>
    <x v="0"/>
    <x v="1"/>
    <x v="9"/>
    <x v="3"/>
    <x v="2"/>
    <x v="3"/>
    <s v="Ring Binder"/>
    <n v="911.31"/>
    <n v="6"/>
    <n v="-233.62909999999999"/>
  </r>
  <r>
    <d v="2014-02-13T00:00:00"/>
    <x v="0"/>
    <x v="1"/>
    <x v="2"/>
    <x v="9"/>
    <x v="2"/>
    <x v="6"/>
    <s v="Sketch Pad"/>
    <n v="776.25"/>
    <n v="10"/>
    <n v="-290.23439999999999"/>
  </r>
  <r>
    <d v="2014-02-15T00:00:00"/>
    <x v="0"/>
    <x v="1"/>
    <x v="9"/>
    <x v="5"/>
    <x v="0"/>
    <x v="5"/>
    <s v="Executive Chair"/>
    <n v="227.2"/>
    <n v="2"/>
    <n v="-42.807699999999997"/>
  </r>
  <r>
    <d v="2014-02-15T00:00:00"/>
    <x v="0"/>
    <x v="1"/>
    <x v="7"/>
    <x v="8"/>
    <x v="0"/>
    <x v="0"/>
    <s v="Wall Frame"/>
    <n v="1182.99"/>
    <n v="7"/>
    <n v="32.8459"/>
  </r>
  <r>
    <d v="2014-02-24T00:00:00"/>
    <x v="0"/>
    <x v="1"/>
    <x v="7"/>
    <x v="6"/>
    <x v="0"/>
    <x v="0"/>
    <s v="Office Clock"/>
    <n v="500.8"/>
    <n v="7"/>
    <n v="-11.7661"/>
  </r>
  <r>
    <d v="2014-02-25T00:00:00"/>
    <x v="0"/>
    <x v="1"/>
    <x v="6"/>
    <x v="5"/>
    <x v="1"/>
    <x v="8"/>
    <s v="Mouse"/>
    <n v="347.74"/>
    <n v="2"/>
    <n v="-106.0204"/>
  </r>
  <r>
    <d v="2014-02-27T00:00:00"/>
    <x v="0"/>
    <x v="1"/>
    <x v="1"/>
    <x v="1"/>
    <x v="0"/>
    <x v="2"/>
    <s v="Wood Bookcase"/>
    <n v="385.83"/>
    <n v="2"/>
    <n v="88.502499999999998"/>
  </r>
  <r>
    <d v="2014-02-28T00:00:00"/>
    <x v="0"/>
    <x v="1"/>
    <x v="6"/>
    <x v="2"/>
    <x v="1"/>
    <x v="8"/>
    <s v="Keyboard"/>
    <n v="595.70000000000005"/>
    <n v="6"/>
    <n v="-157.0385"/>
  </r>
  <r>
    <d v="2014-03-01T00:00:00"/>
    <x v="0"/>
    <x v="2"/>
    <x v="8"/>
    <x v="6"/>
    <x v="2"/>
    <x v="7"/>
    <s v="File Cart"/>
    <n v="59.96"/>
    <n v="1"/>
    <n v="-10.7913"/>
  </r>
  <r>
    <d v="2014-03-03T00:00:00"/>
    <x v="0"/>
    <x v="2"/>
    <x v="4"/>
    <x v="6"/>
    <x v="1"/>
    <x v="8"/>
    <s v="USB Drive"/>
    <n v="116.97"/>
    <n v="4"/>
    <n v="-2.4544000000000001"/>
  </r>
  <r>
    <d v="2014-03-03T00:00:00"/>
    <x v="0"/>
    <x v="2"/>
    <x v="5"/>
    <x v="9"/>
    <x v="0"/>
    <x v="5"/>
    <s v="Mesh Office Chair"/>
    <n v="667.86"/>
    <n v="3"/>
    <n v="-121.5958"/>
  </r>
  <r>
    <d v="2014-03-05T00:00:00"/>
    <x v="0"/>
    <x v="2"/>
    <x v="9"/>
    <x v="3"/>
    <x v="1"/>
    <x v="1"/>
    <s v="IP Phone"/>
    <n v="1139.79"/>
    <n v="4"/>
    <n v="261.49250000000001"/>
  </r>
  <r>
    <d v="2014-03-05T00:00:00"/>
    <x v="0"/>
    <x v="2"/>
    <x v="7"/>
    <x v="9"/>
    <x v="1"/>
    <x v="10"/>
    <s v="Office Copier"/>
    <n v="175.62"/>
    <n v="10"/>
    <n v="19.066500000000001"/>
  </r>
  <r>
    <d v="2014-03-05T00:00:00"/>
    <x v="0"/>
    <x v="2"/>
    <x v="9"/>
    <x v="9"/>
    <x v="0"/>
    <x v="9"/>
    <s v="Work Table"/>
    <n v="410.29"/>
    <n v="7"/>
    <n v="28.6724"/>
  </r>
  <r>
    <d v="2014-03-06T00:00:00"/>
    <x v="0"/>
    <x v="2"/>
    <x v="7"/>
    <x v="8"/>
    <x v="2"/>
    <x v="6"/>
    <s v="Sketch Pad"/>
    <n v="399.65"/>
    <n v="3"/>
    <n v="-143.06319999999999"/>
  </r>
  <r>
    <d v="2014-03-07T00:00:00"/>
    <x v="0"/>
    <x v="2"/>
    <x v="9"/>
    <x v="4"/>
    <x v="2"/>
    <x v="7"/>
    <s v="Storage Box"/>
    <n v="972.33"/>
    <n v="7"/>
    <n v="59.499200000000002"/>
  </r>
  <r>
    <d v="2014-03-10T00:00:00"/>
    <x v="0"/>
    <x v="2"/>
    <x v="5"/>
    <x v="3"/>
    <x v="0"/>
    <x v="5"/>
    <s v="Ergo Chair"/>
    <n v="538.5"/>
    <n v="1"/>
    <n v="-116.55800000000001"/>
  </r>
  <r>
    <d v="2014-03-10T00:00:00"/>
    <x v="0"/>
    <x v="2"/>
    <x v="3"/>
    <x v="5"/>
    <x v="0"/>
    <x v="2"/>
    <s v="Wood Bookcase"/>
    <n v="941.83"/>
    <n v="9"/>
    <n v="-12.375400000000001"/>
  </r>
  <r>
    <d v="2014-03-13T00:00:00"/>
    <x v="0"/>
    <x v="2"/>
    <x v="2"/>
    <x v="4"/>
    <x v="1"/>
    <x v="1"/>
    <s v="IP Phone"/>
    <n v="797.94"/>
    <n v="6"/>
    <n v="198.0334"/>
  </r>
  <r>
    <d v="2014-03-17T00:00:00"/>
    <x v="0"/>
    <x v="2"/>
    <x v="6"/>
    <x v="2"/>
    <x v="2"/>
    <x v="4"/>
    <s v="A4 Paper Pack"/>
    <n v="664.15"/>
    <n v="9"/>
    <n v="179.6456"/>
  </r>
  <r>
    <d v="2014-03-17T00:00:00"/>
    <x v="0"/>
    <x v="2"/>
    <x v="0"/>
    <x v="0"/>
    <x v="1"/>
    <x v="8"/>
    <s v="USB Drive"/>
    <n v="410.45"/>
    <n v="6"/>
    <n v="78.327799999999996"/>
  </r>
  <r>
    <d v="2014-03-17T00:00:00"/>
    <x v="0"/>
    <x v="2"/>
    <x v="7"/>
    <x v="4"/>
    <x v="2"/>
    <x v="3"/>
    <s v="View Binder"/>
    <n v="793.91"/>
    <n v="3"/>
    <n v="219.82050000000001"/>
  </r>
  <r>
    <d v="2014-03-18T00:00:00"/>
    <x v="0"/>
    <x v="2"/>
    <x v="0"/>
    <x v="1"/>
    <x v="0"/>
    <x v="9"/>
    <s v="Conference Table"/>
    <n v="368.72"/>
    <n v="8"/>
    <n v="-115.376"/>
  </r>
  <r>
    <d v="2014-03-22T00:00:00"/>
    <x v="0"/>
    <x v="2"/>
    <x v="9"/>
    <x v="6"/>
    <x v="1"/>
    <x v="10"/>
    <s v="Office Copier"/>
    <n v="301.05"/>
    <n v="8"/>
    <n v="103.3323"/>
  </r>
  <r>
    <d v="2014-03-22T00:00:00"/>
    <x v="0"/>
    <x v="2"/>
    <x v="5"/>
    <x v="3"/>
    <x v="1"/>
    <x v="10"/>
    <s v="Laser Copier"/>
    <n v="671.45"/>
    <n v="9"/>
    <n v="116.7449"/>
  </r>
  <r>
    <d v="2014-03-24T00:00:00"/>
    <x v="0"/>
    <x v="2"/>
    <x v="9"/>
    <x v="4"/>
    <x v="0"/>
    <x v="0"/>
    <s v="Wall Frame"/>
    <n v="59.14"/>
    <n v="3"/>
    <n v="7.9954000000000001"/>
  </r>
  <r>
    <d v="2014-03-28T00:00:00"/>
    <x v="0"/>
    <x v="2"/>
    <x v="6"/>
    <x v="6"/>
    <x v="2"/>
    <x v="7"/>
    <s v="Storage Box"/>
    <n v="699.39"/>
    <n v="8"/>
    <n v="81.342500000000001"/>
  </r>
  <r>
    <d v="2014-03-30T00:00:00"/>
    <x v="0"/>
    <x v="2"/>
    <x v="7"/>
    <x v="6"/>
    <x v="2"/>
    <x v="6"/>
    <s v="Sketch Pad"/>
    <n v="877.03"/>
    <n v="9"/>
    <n v="-268.70479999999998"/>
  </r>
  <r>
    <d v="2014-03-30T00:00:00"/>
    <x v="0"/>
    <x v="2"/>
    <x v="5"/>
    <x v="1"/>
    <x v="1"/>
    <x v="8"/>
    <s v="Keyboard"/>
    <n v="838.68"/>
    <n v="7"/>
    <n v="-191.12280000000001"/>
  </r>
  <r>
    <d v="2014-03-31T00:00:00"/>
    <x v="0"/>
    <x v="2"/>
    <x v="5"/>
    <x v="4"/>
    <x v="1"/>
    <x v="8"/>
    <s v="USB Drive"/>
    <n v="1105.92"/>
    <n v="9"/>
    <n v="-99.762200000000007"/>
  </r>
  <r>
    <d v="2014-04-01T00:00:00"/>
    <x v="0"/>
    <x v="3"/>
    <x v="0"/>
    <x v="5"/>
    <x v="0"/>
    <x v="0"/>
    <s v="Office Clock"/>
    <n v="9.24"/>
    <n v="3"/>
    <n v="0.71919999999999995"/>
  </r>
  <r>
    <d v="2014-04-02T00:00:00"/>
    <x v="0"/>
    <x v="3"/>
    <x v="3"/>
    <x v="0"/>
    <x v="2"/>
    <x v="3"/>
    <s v="View Binder"/>
    <n v="973.17"/>
    <n v="2"/>
    <n v="-372.78359999999998"/>
  </r>
  <r>
    <d v="2014-04-04T00:00:00"/>
    <x v="0"/>
    <x v="3"/>
    <x v="9"/>
    <x v="1"/>
    <x v="1"/>
    <x v="1"/>
    <s v="IP Phone"/>
    <n v="16.559999999999999"/>
    <n v="3"/>
    <n v="1.6149"/>
  </r>
  <r>
    <d v="2014-04-04T00:00:00"/>
    <x v="0"/>
    <x v="3"/>
    <x v="8"/>
    <x v="3"/>
    <x v="1"/>
    <x v="8"/>
    <s v="Keyboard"/>
    <n v="403.88"/>
    <n v="9"/>
    <n v="82.6066"/>
  </r>
  <r>
    <d v="2014-04-05T00:00:00"/>
    <x v="0"/>
    <x v="3"/>
    <x v="4"/>
    <x v="5"/>
    <x v="0"/>
    <x v="5"/>
    <s v="Ergo Chair"/>
    <n v="568.76"/>
    <n v="7"/>
    <n v="165.03700000000001"/>
  </r>
  <r>
    <d v="2014-04-06T00:00:00"/>
    <x v="0"/>
    <x v="3"/>
    <x v="5"/>
    <x v="3"/>
    <x v="0"/>
    <x v="0"/>
    <s v="Office Clock"/>
    <n v="1109.3699999999999"/>
    <n v="5"/>
    <n v="304.50400000000002"/>
  </r>
  <r>
    <d v="2014-04-10T00:00:00"/>
    <x v="0"/>
    <x v="3"/>
    <x v="4"/>
    <x v="5"/>
    <x v="1"/>
    <x v="1"/>
    <s v="IP Phone"/>
    <n v="918.38"/>
    <n v="7"/>
    <n v="-272.6499"/>
  </r>
  <r>
    <d v="2014-04-10T00:00:00"/>
    <x v="0"/>
    <x v="3"/>
    <x v="5"/>
    <x v="1"/>
    <x v="1"/>
    <x v="8"/>
    <s v="Mouse"/>
    <n v="714.74"/>
    <n v="1"/>
    <n v="68.956299999999999"/>
  </r>
  <r>
    <d v="2014-04-11T00:00:00"/>
    <x v="0"/>
    <x v="3"/>
    <x v="7"/>
    <x v="5"/>
    <x v="2"/>
    <x v="6"/>
    <s v="Marker Set"/>
    <n v="896.17"/>
    <n v="5"/>
    <n v="244.45140000000001"/>
  </r>
  <r>
    <d v="2014-04-12T00:00:00"/>
    <x v="0"/>
    <x v="3"/>
    <x v="0"/>
    <x v="6"/>
    <x v="2"/>
    <x v="3"/>
    <s v="View Binder"/>
    <n v="199.67"/>
    <n v="10"/>
    <n v="36.913499999999999"/>
  </r>
  <r>
    <d v="2014-04-13T00:00:00"/>
    <x v="0"/>
    <x v="3"/>
    <x v="1"/>
    <x v="4"/>
    <x v="1"/>
    <x v="10"/>
    <s v="Laser Copier"/>
    <n v="671.1"/>
    <n v="2"/>
    <n v="-38.691400000000002"/>
  </r>
  <r>
    <d v="2014-04-14T00:00:00"/>
    <x v="0"/>
    <x v="3"/>
    <x v="1"/>
    <x v="6"/>
    <x v="2"/>
    <x v="4"/>
    <s v="A4 Paper Pack"/>
    <n v="784.31"/>
    <n v="9"/>
    <n v="178.05459999999999"/>
  </r>
  <r>
    <d v="2014-04-14T00:00:00"/>
    <x v="0"/>
    <x v="3"/>
    <x v="0"/>
    <x v="4"/>
    <x v="0"/>
    <x v="9"/>
    <s v="Conference Table"/>
    <n v="805.45"/>
    <n v="9"/>
    <n v="-185.8546"/>
  </r>
  <r>
    <d v="2014-04-15T00:00:00"/>
    <x v="0"/>
    <x v="3"/>
    <x v="3"/>
    <x v="4"/>
    <x v="0"/>
    <x v="9"/>
    <s v="Work Table"/>
    <n v="929.52"/>
    <n v="10"/>
    <n v="215.9786"/>
  </r>
  <r>
    <d v="2014-04-16T00:00:00"/>
    <x v="0"/>
    <x v="3"/>
    <x v="6"/>
    <x v="4"/>
    <x v="0"/>
    <x v="9"/>
    <s v="Conference Table"/>
    <n v="506.4"/>
    <n v="5"/>
    <n v="74.755399999999995"/>
  </r>
  <r>
    <d v="2014-04-17T00:00:00"/>
    <x v="0"/>
    <x v="3"/>
    <x v="7"/>
    <x v="4"/>
    <x v="0"/>
    <x v="9"/>
    <s v="Work Table"/>
    <n v="771.21"/>
    <n v="6"/>
    <n v="12.266500000000001"/>
  </r>
  <r>
    <d v="2014-04-17T00:00:00"/>
    <x v="0"/>
    <x v="3"/>
    <x v="9"/>
    <x v="8"/>
    <x v="0"/>
    <x v="2"/>
    <s v="Wood Bookcase"/>
    <n v="478.63"/>
    <n v="5"/>
    <n v="69.157899999999998"/>
  </r>
  <r>
    <d v="2014-04-17T00:00:00"/>
    <x v="0"/>
    <x v="3"/>
    <x v="7"/>
    <x v="9"/>
    <x v="2"/>
    <x v="11"/>
    <s v="Address Labels"/>
    <n v="247.06"/>
    <n v="10"/>
    <n v="9.7643000000000004"/>
  </r>
  <r>
    <d v="2014-04-18T00:00:00"/>
    <x v="0"/>
    <x v="3"/>
    <x v="0"/>
    <x v="9"/>
    <x v="1"/>
    <x v="10"/>
    <s v="Office Copier"/>
    <n v="190.92"/>
    <n v="10"/>
    <n v="-69.242500000000007"/>
  </r>
  <r>
    <d v="2014-04-18T00:00:00"/>
    <x v="0"/>
    <x v="3"/>
    <x v="9"/>
    <x v="5"/>
    <x v="1"/>
    <x v="8"/>
    <s v="USB Drive"/>
    <n v="205.28"/>
    <n v="7"/>
    <n v="-8.7912999999999997"/>
  </r>
  <r>
    <d v="2014-04-19T00:00:00"/>
    <x v="0"/>
    <x v="3"/>
    <x v="3"/>
    <x v="6"/>
    <x v="1"/>
    <x v="10"/>
    <s v="Laser Copier"/>
    <n v="1084.78"/>
    <n v="9"/>
    <n v="199.48599999999999"/>
  </r>
  <r>
    <d v="2014-04-19T00:00:00"/>
    <x v="0"/>
    <x v="3"/>
    <x v="2"/>
    <x v="7"/>
    <x v="1"/>
    <x v="10"/>
    <s v="Laser Copier"/>
    <n v="230.76"/>
    <n v="1"/>
    <n v="-52.521999999999998"/>
  </r>
  <r>
    <d v="2014-04-21T00:00:00"/>
    <x v="0"/>
    <x v="3"/>
    <x v="4"/>
    <x v="8"/>
    <x v="2"/>
    <x v="7"/>
    <s v="Storage Box"/>
    <n v="633.25"/>
    <n v="7"/>
    <n v="-26.1279"/>
  </r>
  <r>
    <d v="2014-04-21T00:00:00"/>
    <x v="0"/>
    <x v="3"/>
    <x v="6"/>
    <x v="5"/>
    <x v="1"/>
    <x v="10"/>
    <s v="Laser Copier"/>
    <n v="369.22"/>
    <n v="1"/>
    <n v="-59.264499999999998"/>
  </r>
  <r>
    <d v="2014-04-22T00:00:00"/>
    <x v="0"/>
    <x v="3"/>
    <x v="9"/>
    <x v="4"/>
    <x v="1"/>
    <x v="1"/>
    <s v="IP Phone"/>
    <n v="295.44"/>
    <n v="10"/>
    <n v="87.168800000000005"/>
  </r>
  <r>
    <d v="2014-04-23T00:00:00"/>
    <x v="0"/>
    <x v="3"/>
    <x v="8"/>
    <x v="1"/>
    <x v="0"/>
    <x v="0"/>
    <s v="Wall Frame"/>
    <n v="374.6"/>
    <n v="3"/>
    <n v="-116.2825"/>
  </r>
  <r>
    <d v="2014-04-23T00:00:00"/>
    <x v="0"/>
    <x v="3"/>
    <x v="1"/>
    <x v="6"/>
    <x v="1"/>
    <x v="8"/>
    <s v="Mouse"/>
    <n v="620.11"/>
    <n v="6"/>
    <n v="164.93899999999999"/>
  </r>
  <r>
    <d v="2014-04-23T00:00:00"/>
    <x v="0"/>
    <x v="3"/>
    <x v="1"/>
    <x v="0"/>
    <x v="2"/>
    <x v="3"/>
    <s v="View Binder"/>
    <n v="731.74"/>
    <n v="4"/>
    <n v="27.4941"/>
  </r>
  <r>
    <d v="2014-04-24T00:00:00"/>
    <x v="0"/>
    <x v="3"/>
    <x v="1"/>
    <x v="2"/>
    <x v="2"/>
    <x v="3"/>
    <s v="View Binder"/>
    <n v="546.85"/>
    <n v="9"/>
    <n v="-48.358800000000002"/>
  </r>
  <r>
    <d v="2014-04-25T00:00:00"/>
    <x v="0"/>
    <x v="3"/>
    <x v="6"/>
    <x v="1"/>
    <x v="0"/>
    <x v="5"/>
    <s v="Executive Chair"/>
    <n v="673.31"/>
    <n v="5"/>
    <n v="159.87540000000001"/>
  </r>
  <r>
    <d v="2014-04-26T00:00:00"/>
    <x v="0"/>
    <x v="3"/>
    <x v="5"/>
    <x v="1"/>
    <x v="2"/>
    <x v="7"/>
    <s v="Storage Box"/>
    <n v="172.46"/>
    <n v="5"/>
    <n v="-38.696399999999997"/>
  </r>
  <r>
    <d v="2014-04-28T00:00:00"/>
    <x v="0"/>
    <x v="3"/>
    <x v="7"/>
    <x v="1"/>
    <x v="1"/>
    <x v="10"/>
    <s v="Laser Copier"/>
    <n v="1135.1300000000001"/>
    <n v="3"/>
    <n v="91.058400000000006"/>
  </r>
  <r>
    <d v="2014-04-29T00:00:00"/>
    <x v="0"/>
    <x v="3"/>
    <x v="1"/>
    <x v="8"/>
    <x v="1"/>
    <x v="1"/>
    <s v="Business Phone"/>
    <n v="677.05"/>
    <n v="7"/>
    <n v="12.1632"/>
  </r>
  <r>
    <d v="2014-04-30T00:00:00"/>
    <x v="0"/>
    <x v="3"/>
    <x v="3"/>
    <x v="4"/>
    <x v="0"/>
    <x v="2"/>
    <s v="Wood Bookcase"/>
    <n v="697.12"/>
    <n v="9"/>
    <n v="-246.9769"/>
  </r>
  <r>
    <d v="2014-04-30T00:00:00"/>
    <x v="0"/>
    <x v="3"/>
    <x v="5"/>
    <x v="2"/>
    <x v="2"/>
    <x v="7"/>
    <s v="Storage Box"/>
    <n v="361.14"/>
    <n v="2"/>
    <n v="-57.7712"/>
  </r>
  <r>
    <d v="2014-05-01T00:00:00"/>
    <x v="0"/>
    <x v="4"/>
    <x v="6"/>
    <x v="3"/>
    <x v="0"/>
    <x v="5"/>
    <s v="Executive Chair"/>
    <n v="278.58999999999997"/>
    <n v="1"/>
    <n v="68.178399999999996"/>
  </r>
  <r>
    <d v="2014-05-05T00:00:00"/>
    <x v="0"/>
    <x v="4"/>
    <x v="3"/>
    <x v="5"/>
    <x v="1"/>
    <x v="10"/>
    <s v="Office Copier"/>
    <n v="486.13"/>
    <n v="6"/>
    <n v="97.441999999999993"/>
  </r>
  <r>
    <d v="2014-05-05T00:00:00"/>
    <x v="0"/>
    <x v="4"/>
    <x v="4"/>
    <x v="3"/>
    <x v="2"/>
    <x v="6"/>
    <s v="Sketch Pad"/>
    <n v="670.28"/>
    <n v="10"/>
    <n v="174.12899999999999"/>
  </r>
  <r>
    <d v="2014-05-07T00:00:00"/>
    <x v="0"/>
    <x v="4"/>
    <x v="5"/>
    <x v="1"/>
    <x v="2"/>
    <x v="3"/>
    <s v="Ring Binder"/>
    <n v="1103.3399999999999"/>
    <n v="8"/>
    <n v="-395.99799999999999"/>
  </r>
  <r>
    <d v="2014-05-10T00:00:00"/>
    <x v="0"/>
    <x v="4"/>
    <x v="6"/>
    <x v="7"/>
    <x v="2"/>
    <x v="4"/>
    <s v="A4 Paper Pack"/>
    <n v="764.31"/>
    <n v="8"/>
    <n v="215.56649999999999"/>
  </r>
  <r>
    <d v="2014-05-10T00:00:00"/>
    <x v="0"/>
    <x v="4"/>
    <x v="9"/>
    <x v="3"/>
    <x v="0"/>
    <x v="9"/>
    <s v="Work Table"/>
    <n v="149.29"/>
    <n v="3"/>
    <n v="25.105"/>
  </r>
  <r>
    <d v="2014-05-12T00:00:00"/>
    <x v="0"/>
    <x v="4"/>
    <x v="4"/>
    <x v="0"/>
    <x v="0"/>
    <x v="9"/>
    <s v="Conference Table"/>
    <n v="409.01"/>
    <n v="10"/>
    <n v="6.3155999999999999"/>
  </r>
  <r>
    <d v="2014-05-12T00:00:00"/>
    <x v="0"/>
    <x v="4"/>
    <x v="2"/>
    <x v="8"/>
    <x v="2"/>
    <x v="11"/>
    <s v="Shipping Labels"/>
    <n v="762.54"/>
    <n v="7"/>
    <n v="-152.35470000000001"/>
  </r>
  <r>
    <d v="2014-05-14T00:00:00"/>
    <x v="0"/>
    <x v="4"/>
    <x v="9"/>
    <x v="9"/>
    <x v="2"/>
    <x v="11"/>
    <s v="Address Labels"/>
    <n v="573.02"/>
    <n v="6"/>
    <n v="-23.5001"/>
  </r>
  <r>
    <d v="2014-05-14T00:00:00"/>
    <x v="0"/>
    <x v="4"/>
    <x v="3"/>
    <x v="4"/>
    <x v="1"/>
    <x v="1"/>
    <s v="IP Phone"/>
    <n v="707.86"/>
    <n v="2"/>
    <n v="-215.49160000000001"/>
  </r>
  <r>
    <d v="2014-05-14T00:00:00"/>
    <x v="0"/>
    <x v="4"/>
    <x v="1"/>
    <x v="9"/>
    <x v="2"/>
    <x v="7"/>
    <s v="File Cart"/>
    <n v="146.6"/>
    <n v="3"/>
    <n v="28.759"/>
  </r>
  <r>
    <d v="2014-05-15T00:00:00"/>
    <x v="0"/>
    <x v="4"/>
    <x v="8"/>
    <x v="6"/>
    <x v="0"/>
    <x v="5"/>
    <s v="Executive Chair"/>
    <n v="256.88"/>
    <n v="4"/>
    <n v="63.889400000000002"/>
  </r>
  <r>
    <d v="2014-05-19T00:00:00"/>
    <x v="0"/>
    <x v="4"/>
    <x v="9"/>
    <x v="8"/>
    <x v="1"/>
    <x v="1"/>
    <s v="Business Phone"/>
    <n v="417.04"/>
    <n v="2"/>
    <n v="74.494200000000006"/>
  </r>
  <r>
    <d v="2014-05-19T00:00:00"/>
    <x v="0"/>
    <x v="4"/>
    <x v="8"/>
    <x v="8"/>
    <x v="2"/>
    <x v="6"/>
    <s v="Sketch Pad"/>
    <n v="911.34"/>
    <n v="9"/>
    <n v="-320.15879999999999"/>
  </r>
  <r>
    <d v="2014-05-21T00:00:00"/>
    <x v="0"/>
    <x v="4"/>
    <x v="4"/>
    <x v="8"/>
    <x v="0"/>
    <x v="2"/>
    <s v="Metal Bookcase"/>
    <n v="279.63"/>
    <n v="7"/>
    <n v="-84.123900000000006"/>
  </r>
  <r>
    <d v="2014-05-25T00:00:00"/>
    <x v="0"/>
    <x v="4"/>
    <x v="5"/>
    <x v="2"/>
    <x v="2"/>
    <x v="4"/>
    <s v="A4 Paper Pack"/>
    <n v="1002.18"/>
    <n v="2"/>
    <n v="309.125"/>
  </r>
  <r>
    <d v="2014-05-26T00:00:00"/>
    <x v="0"/>
    <x v="4"/>
    <x v="5"/>
    <x v="3"/>
    <x v="2"/>
    <x v="6"/>
    <s v="Sketch Pad"/>
    <n v="826.42"/>
    <n v="5"/>
    <n v="157.7396"/>
  </r>
  <r>
    <d v="2014-05-26T00:00:00"/>
    <x v="0"/>
    <x v="4"/>
    <x v="6"/>
    <x v="8"/>
    <x v="0"/>
    <x v="2"/>
    <s v="Wood Bookcase"/>
    <n v="20.64"/>
    <n v="4"/>
    <n v="1.895"/>
  </r>
  <r>
    <d v="2014-05-27T00:00:00"/>
    <x v="0"/>
    <x v="4"/>
    <x v="9"/>
    <x v="3"/>
    <x v="1"/>
    <x v="8"/>
    <s v="Mouse"/>
    <n v="732.91"/>
    <n v="3"/>
    <n v="0.44330000000000003"/>
  </r>
  <r>
    <d v="2014-05-27T00:00:00"/>
    <x v="0"/>
    <x v="4"/>
    <x v="9"/>
    <x v="1"/>
    <x v="1"/>
    <x v="10"/>
    <s v="Laser Copier"/>
    <n v="99.54"/>
    <n v="6"/>
    <n v="-22.778400000000001"/>
  </r>
  <r>
    <d v="2014-05-28T00:00:00"/>
    <x v="0"/>
    <x v="4"/>
    <x v="1"/>
    <x v="7"/>
    <x v="1"/>
    <x v="10"/>
    <s v="Laser Copier"/>
    <n v="479.5"/>
    <n v="1"/>
    <n v="-34.924500000000002"/>
  </r>
  <r>
    <d v="2014-05-28T00:00:00"/>
    <x v="0"/>
    <x v="4"/>
    <x v="7"/>
    <x v="6"/>
    <x v="0"/>
    <x v="0"/>
    <s v="Wall Frame"/>
    <n v="897.53"/>
    <n v="3"/>
    <n v="-343.02280000000002"/>
  </r>
  <r>
    <d v="2014-05-30T00:00:00"/>
    <x v="0"/>
    <x v="4"/>
    <x v="0"/>
    <x v="0"/>
    <x v="1"/>
    <x v="10"/>
    <s v="Laser Copier"/>
    <n v="941.92"/>
    <n v="6"/>
    <n v="-5.6078999999999999"/>
  </r>
  <r>
    <d v="2014-05-31T00:00:00"/>
    <x v="0"/>
    <x v="4"/>
    <x v="8"/>
    <x v="5"/>
    <x v="2"/>
    <x v="4"/>
    <s v="A4 Paper Pack"/>
    <n v="647.47"/>
    <n v="9"/>
    <n v="-130.20599999999999"/>
  </r>
  <r>
    <d v="2014-06-03T00:00:00"/>
    <x v="0"/>
    <x v="5"/>
    <x v="8"/>
    <x v="9"/>
    <x v="0"/>
    <x v="0"/>
    <s v="Desk Lamp"/>
    <n v="658.72"/>
    <n v="2"/>
    <n v="-96.526899999999998"/>
  </r>
  <r>
    <d v="2014-06-04T00:00:00"/>
    <x v="0"/>
    <x v="5"/>
    <x v="1"/>
    <x v="8"/>
    <x v="1"/>
    <x v="10"/>
    <s v="Office Copier"/>
    <n v="1071.07"/>
    <n v="9"/>
    <n v="78.959100000000007"/>
  </r>
  <r>
    <d v="2014-06-05T00:00:00"/>
    <x v="0"/>
    <x v="5"/>
    <x v="8"/>
    <x v="1"/>
    <x v="1"/>
    <x v="10"/>
    <s v="Laser Copier"/>
    <n v="667.69"/>
    <n v="3"/>
    <n v="-28.432500000000001"/>
  </r>
  <r>
    <d v="2014-06-05T00:00:00"/>
    <x v="0"/>
    <x v="5"/>
    <x v="5"/>
    <x v="4"/>
    <x v="2"/>
    <x v="7"/>
    <s v="File Cart"/>
    <n v="434.12"/>
    <n v="2"/>
    <n v="-77.755899999999997"/>
  </r>
  <r>
    <d v="2014-06-06T00:00:00"/>
    <x v="0"/>
    <x v="5"/>
    <x v="9"/>
    <x v="4"/>
    <x v="2"/>
    <x v="4"/>
    <s v="A4 Paper Pack"/>
    <n v="794.99"/>
    <n v="9"/>
    <n v="139.66309999999999"/>
  </r>
  <r>
    <d v="2014-06-07T00:00:00"/>
    <x v="0"/>
    <x v="5"/>
    <x v="2"/>
    <x v="0"/>
    <x v="2"/>
    <x v="6"/>
    <s v="Sketch Pad"/>
    <n v="690.84"/>
    <n v="9"/>
    <n v="-86.208200000000005"/>
  </r>
  <r>
    <d v="2014-06-08T00:00:00"/>
    <x v="0"/>
    <x v="5"/>
    <x v="3"/>
    <x v="3"/>
    <x v="0"/>
    <x v="9"/>
    <s v="Conference Table"/>
    <n v="358.47"/>
    <n v="2"/>
    <n v="-6.8944000000000001"/>
  </r>
  <r>
    <d v="2014-06-09T00:00:00"/>
    <x v="0"/>
    <x v="5"/>
    <x v="6"/>
    <x v="6"/>
    <x v="2"/>
    <x v="7"/>
    <s v="File Cart"/>
    <n v="289.41000000000003"/>
    <n v="6"/>
    <n v="-79.322800000000001"/>
  </r>
  <r>
    <d v="2014-06-09T00:00:00"/>
    <x v="0"/>
    <x v="5"/>
    <x v="9"/>
    <x v="7"/>
    <x v="1"/>
    <x v="1"/>
    <s v="IP Phone"/>
    <n v="888.54"/>
    <n v="10"/>
    <n v="202.19720000000001"/>
  </r>
  <r>
    <d v="2014-06-10T00:00:00"/>
    <x v="0"/>
    <x v="5"/>
    <x v="0"/>
    <x v="9"/>
    <x v="0"/>
    <x v="9"/>
    <s v="Conference Table"/>
    <n v="897.7"/>
    <n v="10"/>
    <n v="-184.4879"/>
  </r>
  <r>
    <d v="2014-06-11T00:00:00"/>
    <x v="0"/>
    <x v="5"/>
    <x v="0"/>
    <x v="3"/>
    <x v="0"/>
    <x v="9"/>
    <s v="Round Table"/>
    <n v="107.36"/>
    <n v="8"/>
    <n v="22.7622"/>
  </r>
  <r>
    <d v="2014-06-14T00:00:00"/>
    <x v="0"/>
    <x v="5"/>
    <x v="0"/>
    <x v="7"/>
    <x v="1"/>
    <x v="8"/>
    <s v="Keyboard"/>
    <n v="719.65"/>
    <n v="7"/>
    <n v="108.5955"/>
  </r>
  <r>
    <d v="2014-06-15T00:00:00"/>
    <x v="0"/>
    <x v="5"/>
    <x v="6"/>
    <x v="1"/>
    <x v="0"/>
    <x v="5"/>
    <s v="Mesh Office Chair"/>
    <n v="12.59"/>
    <n v="3"/>
    <n v="3.7090000000000001"/>
  </r>
  <r>
    <d v="2014-06-17T00:00:00"/>
    <x v="0"/>
    <x v="5"/>
    <x v="0"/>
    <x v="0"/>
    <x v="1"/>
    <x v="1"/>
    <s v="IP Phone"/>
    <n v="1010.94"/>
    <n v="3"/>
    <n v="271.40989999999999"/>
  </r>
  <r>
    <d v="2014-06-21T00:00:00"/>
    <x v="0"/>
    <x v="5"/>
    <x v="4"/>
    <x v="5"/>
    <x v="2"/>
    <x v="4"/>
    <s v="A4 Paper Pack"/>
    <n v="773.09"/>
    <n v="3"/>
    <n v="193.37960000000001"/>
  </r>
  <r>
    <d v="2014-06-22T00:00:00"/>
    <x v="0"/>
    <x v="5"/>
    <x v="1"/>
    <x v="0"/>
    <x v="0"/>
    <x v="5"/>
    <s v="Mesh Office Chair"/>
    <n v="1160.98"/>
    <n v="10"/>
    <n v="348.82389999999998"/>
  </r>
  <r>
    <d v="2014-06-23T00:00:00"/>
    <x v="0"/>
    <x v="5"/>
    <x v="9"/>
    <x v="0"/>
    <x v="1"/>
    <x v="1"/>
    <s v="Business Phone"/>
    <n v="808.17"/>
    <n v="6"/>
    <n v="-251.8288"/>
  </r>
  <r>
    <d v="2014-06-23T00:00:00"/>
    <x v="0"/>
    <x v="5"/>
    <x v="0"/>
    <x v="1"/>
    <x v="0"/>
    <x v="2"/>
    <s v="Metal Bookcase"/>
    <n v="1062.83"/>
    <n v="8"/>
    <n v="161.01150000000001"/>
  </r>
  <r>
    <d v="2014-06-23T00:00:00"/>
    <x v="0"/>
    <x v="5"/>
    <x v="1"/>
    <x v="3"/>
    <x v="1"/>
    <x v="8"/>
    <s v="Mouse"/>
    <n v="1092.9100000000001"/>
    <n v="2"/>
    <n v="275.09089999999998"/>
  </r>
  <r>
    <d v="2014-06-25T00:00:00"/>
    <x v="0"/>
    <x v="5"/>
    <x v="3"/>
    <x v="3"/>
    <x v="2"/>
    <x v="4"/>
    <s v="Premium Paper"/>
    <n v="17.329999999999998"/>
    <n v="3"/>
    <n v="4.3945999999999996"/>
  </r>
  <r>
    <d v="2014-06-26T00:00:00"/>
    <x v="0"/>
    <x v="5"/>
    <x v="6"/>
    <x v="9"/>
    <x v="2"/>
    <x v="4"/>
    <s v="A4 Paper Pack"/>
    <n v="83.57"/>
    <n v="7"/>
    <n v="29.2241"/>
  </r>
  <r>
    <d v="2014-06-26T00:00:00"/>
    <x v="0"/>
    <x v="5"/>
    <x v="1"/>
    <x v="2"/>
    <x v="1"/>
    <x v="1"/>
    <s v="IP Phone"/>
    <n v="1028.45"/>
    <n v="3"/>
    <n v="-121.3892"/>
  </r>
  <r>
    <d v="2014-06-26T00:00:00"/>
    <x v="0"/>
    <x v="5"/>
    <x v="9"/>
    <x v="0"/>
    <x v="0"/>
    <x v="9"/>
    <s v="Work Table"/>
    <n v="802.13"/>
    <n v="3"/>
    <n v="-216.60050000000001"/>
  </r>
  <r>
    <d v="2014-06-28T00:00:00"/>
    <x v="0"/>
    <x v="5"/>
    <x v="2"/>
    <x v="2"/>
    <x v="2"/>
    <x v="6"/>
    <s v="Marker Set"/>
    <n v="468.78"/>
    <n v="7"/>
    <n v="6.5819999999999999"/>
  </r>
  <r>
    <d v="2014-06-29T00:00:00"/>
    <x v="0"/>
    <x v="5"/>
    <x v="2"/>
    <x v="6"/>
    <x v="2"/>
    <x v="7"/>
    <s v="File Cart"/>
    <n v="973.56"/>
    <n v="6"/>
    <n v="98.212599999999995"/>
  </r>
  <r>
    <d v="2014-07-01T00:00:00"/>
    <x v="0"/>
    <x v="6"/>
    <x v="5"/>
    <x v="0"/>
    <x v="1"/>
    <x v="8"/>
    <s v="Mouse"/>
    <n v="1039.81"/>
    <n v="1"/>
    <n v="30.150400000000001"/>
  </r>
  <r>
    <d v="2014-07-02T00:00:00"/>
    <x v="0"/>
    <x v="6"/>
    <x v="3"/>
    <x v="9"/>
    <x v="0"/>
    <x v="5"/>
    <s v="Ergo Chair"/>
    <n v="1088.72"/>
    <n v="10"/>
    <n v="110.79519999999999"/>
  </r>
  <r>
    <d v="2014-07-04T00:00:00"/>
    <x v="0"/>
    <x v="6"/>
    <x v="2"/>
    <x v="0"/>
    <x v="1"/>
    <x v="1"/>
    <s v="IP Phone"/>
    <n v="185.07"/>
    <n v="8"/>
    <n v="-43.881799999999998"/>
  </r>
  <r>
    <d v="2014-07-04T00:00:00"/>
    <x v="0"/>
    <x v="6"/>
    <x v="4"/>
    <x v="2"/>
    <x v="1"/>
    <x v="8"/>
    <s v="Keyboard"/>
    <n v="289.5"/>
    <n v="2"/>
    <n v="52.079099999999997"/>
  </r>
  <r>
    <d v="2014-07-06T00:00:00"/>
    <x v="0"/>
    <x v="6"/>
    <x v="0"/>
    <x v="9"/>
    <x v="0"/>
    <x v="0"/>
    <s v="Desk Lamp"/>
    <n v="998.97"/>
    <n v="2"/>
    <n v="-76.014200000000002"/>
  </r>
  <r>
    <d v="2014-07-06T00:00:00"/>
    <x v="0"/>
    <x v="6"/>
    <x v="7"/>
    <x v="5"/>
    <x v="1"/>
    <x v="10"/>
    <s v="Office Copier"/>
    <n v="951.18"/>
    <n v="10"/>
    <n v="74.338099999999997"/>
  </r>
  <r>
    <d v="2014-07-08T00:00:00"/>
    <x v="0"/>
    <x v="6"/>
    <x v="0"/>
    <x v="8"/>
    <x v="0"/>
    <x v="5"/>
    <s v="Ergo Chair"/>
    <n v="72.97"/>
    <n v="10"/>
    <n v="6.7464000000000004"/>
  </r>
  <r>
    <d v="2014-07-10T00:00:00"/>
    <x v="0"/>
    <x v="6"/>
    <x v="9"/>
    <x v="0"/>
    <x v="2"/>
    <x v="6"/>
    <s v="Marker Set"/>
    <n v="878.46"/>
    <n v="8"/>
    <n v="66.877499999999998"/>
  </r>
  <r>
    <d v="2014-07-10T00:00:00"/>
    <x v="0"/>
    <x v="6"/>
    <x v="2"/>
    <x v="9"/>
    <x v="2"/>
    <x v="11"/>
    <s v="Shipping Labels"/>
    <n v="450.28"/>
    <n v="6"/>
    <n v="-118.3552"/>
  </r>
  <r>
    <d v="2014-07-18T00:00:00"/>
    <x v="0"/>
    <x v="6"/>
    <x v="1"/>
    <x v="0"/>
    <x v="2"/>
    <x v="7"/>
    <s v="Storage Box"/>
    <n v="792.48"/>
    <n v="6"/>
    <n v="-65.233800000000002"/>
  </r>
  <r>
    <d v="2014-07-20T00:00:00"/>
    <x v="0"/>
    <x v="6"/>
    <x v="8"/>
    <x v="7"/>
    <x v="1"/>
    <x v="8"/>
    <s v="USB Drive"/>
    <n v="527.32000000000005"/>
    <n v="2"/>
    <n v="-76.227000000000004"/>
  </r>
  <r>
    <d v="2014-07-20T00:00:00"/>
    <x v="0"/>
    <x v="6"/>
    <x v="5"/>
    <x v="5"/>
    <x v="0"/>
    <x v="5"/>
    <s v="Mesh Office Chair"/>
    <n v="632.69000000000005"/>
    <n v="8"/>
    <n v="-86.275300000000001"/>
  </r>
  <r>
    <d v="2014-07-20T00:00:00"/>
    <x v="0"/>
    <x v="6"/>
    <x v="4"/>
    <x v="2"/>
    <x v="0"/>
    <x v="2"/>
    <s v="Metal Bookcase"/>
    <n v="180.13"/>
    <n v="7"/>
    <n v="39.867899999999999"/>
  </r>
  <r>
    <d v="2014-07-22T00:00:00"/>
    <x v="0"/>
    <x v="6"/>
    <x v="1"/>
    <x v="8"/>
    <x v="0"/>
    <x v="5"/>
    <s v="Executive Chair"/>
    <n v="1109.46"/>
    <n v="9"/>
    <n v="264.57580000000002"/>
  </r>
  <r>
    <d v="2014-07-25T00:00:00"/>
    <x v="0"/>
    <x v="6"/>
    <x v="5"/>
    <x v="4"/>
    <x v="1"/>
    <x v="10"/>
    <s v="Laser Copier"/>
    <n v="1049.6600000000001"/>
    <n v="8"/>
    <n v="-341.36649999999997"/>
  </r>
  <r>
    <d v="2014-07-28T00:00:00"/>
    <x v="0"/>
    <x v="6"/>
    <x v="4"/>
    <x v="7"/>
    <x v="0"/>
    <x v="5"/>
    <s v="Mesh Office Chair"/>
    <n v="965.66"/>
    <n v="3"/>
    <n v="-298.3021"/>
  </r>
  <r>
    <d v="2014-07-28T00:00:00"/>
    <x v="0"/>
    <x v="6"/>
    <x v="3"/>
    <x v="0"/>
    <x v="0"/>
    <x v="5"/>
    <s v="Executive Chair"/>
    <n v="989.21"/>
    <n v="1"/>
    <n v="-19.310099999999998"/>
  </r>
  <r>
    <d v="2014-07-30T00:00:00"/>
    <x v="0"/>
    <x v="6"/>
    <x v="5"/>
    <x v="9"/>
    <x v="0"/>
    <x v="9"/>
    <s v="Round Table"/>
    <n v="427.65"/>
    <n v="9"/>
    <n v="112.51519999999999"/>
  </r>
  <r>
    <d v="2014-07-30T00:00:00"/>
    <x v="0"/>
    <x v="6"/>
    <x v="6"/>
    <x v="4"/>
    <x v="2"/>
    <x v="7"/>
    <s v="File Cart"/>
    <n v="1073.6500000000001"/>
    <n v="2"/>
    <n v="-245.5402"/>
  </r>
  <r>
    <d v="2014-07-31T00:00:00"/>
    <x v="0"/>
    <x v="6"/>
    <x v="8"/>
    <x v="4"/>
    <x v="2"/>
    <x v="11"/>
    <s v="Shipping Labels"/>
    <n v="36.380000000000003"/>
    <n v="6"/>
    <n v="0.56989999999999996"/>
  </r>
  <r>
    <d v="2014-07-31T00:00:00"/>
    <x v="0"/>
    <x v="6"/>
    <x v="6"/>
    <x v="6"/>
    <x v="2"/>
    <x v="11"/>
    <s v="Address Labels"/>
    <n v="627.09"/>
    <n v="5"/>
    <n v="-240.26310000000001"/>
  </r>
  <r>
    <d v="2014-08-01T00:00:00"/>
    <x v="0"/>
    <x v="7"/>
    <x v="5"/>
    <x v="8"/>
    <x v="1"/>
    <x v="8"/>
    <s v="Keyboard"/>
    <n v="695.61"/>
    <n v="4"/>
    <n v="-197.52010000000001"/>
  </r>
  <r>
    <d v="2014-08-01T00:00:00"/>
    <x v="0"/>
    <x v="7"/>
    <x v="5"/>
    <x v="1"/>
    <x v="1"/>
    <x v="10"/>
    <s v="Laser Copier"/>
    <n v="250.21"/>
    <n v="4"/>
    <n v="-21.302399999999999"/>
  </r>
  <r>
    <d v="2014-08-05T00:00:00"/>
    <x v="0"/>
    <x v="7"/>
    <x v="6"/>
    <x v="4"/>
    <x v="1"/>
    <x v="10"/>
    <s v="Laser Copier"/>
    <n v="920.71"/>
    <n v="10"/>
    <n v="-121.09869999999999"/>
  </r>
  <r>
    <d v="2014-08-06T00:00:00"/>
    <x v="0"/>
    <x v="7"/>
    <x v="8"/>
    <x v="0"/>
    <x v="1"/>
    <x v="1"/>
    <s v="IP Phone"/>
    <n v="141.44"/>
    <n v="10"/>
    <n v="28.200500000000002"/>
  </r>
  <r>
    <d v="2014-08-09T00:00:00"/>
    <x v="0"/>
    <x v="7"/>
    <x v="7"/>
    <x v="3"/>
    <x v="2"/>
    <x v="7"/>
    <s v="File Cart"/>
    <n v="909.79"/>
    <n v="1"/>
    <n v="268.36070000000001"/>
  </r>
  <r>
    <d v="2014-08-10T00:00:00"/>
    <x v="0"/>
    <x v="7"/>
    <x v="3"/>
    <x v="7"/>
    <x v="2"/>
    <x v="7"/>
    <s v="File Cart"/>
    <n v="151.02000000000001"/>
    <n v="8"/>
    <n v="-4.0842999999999998"/>
  </r>
  <r>
    <d v="2014-08-12T00:00:00"/>
    <x v="0"/>
    <x v="7"/>
    <x v="7"/>
    <x v="7"/>
    <x v="0"/>
    <x v="2"/>
    <s v="Wood Bookcase"/>
    <n v="923.9"/>
    <n v="6"/>
    <n v="-254.29990000000001"/>
  </r>
  <r>
    <d v="2014-08-13T00:00:00"/>
    <x v="0"/>
    <x v="7"/>
    <x v="2"/>
    <x v="7"/>
    <x v="2"/>
    <x v="3"/>
    <s v="Ring Binder"/>
    <n v="187.65"/>
    <n v="3"/>
    <n v="36.415300000000002"/>
  </r>
  <r>
    <d v="2014-08-14T00:00:00"/>
    <x v="0"/>
    <x v="7"/>
    <x v="2"/>
    <x v="4"/>
    <x v="1"/>
    <x v="8"/>
    <s v="USB Drive"/>
    <n v="794.96"/>
    <n v="1"/>
    <n v="-239.40029999999999"/>
  </r>
  <r>
    <d v="2014-08-15T00:00:00"/>
    <x v="0"/>
    <x v="7"/>
    <x v="1"/>
    <x v="8"/>
    <x v="2"/>
    <x v="4"/>
    <s v="A4 Paper Pack"/>
    <n v="193.6"/>
    <n v="9"/>
    <n v="26.169499999999999"/>
  </r>
  <r>
    <d v="2014-08-16T00:00:00"/>
    <x v="0"/>
    <x v="7"/>
    <x v="8"/>
    <x v="5"/>
    <x v="1"/>
    <x v="1"/>
    <s v="Business Phone"/>
    <n v="409.37"/>
    <n v="4"/>
    <n v="-70.082400000000007"/>
  </r>
  <r>
    <d v="2014-08-18T00:00:00"/>
    <x v="0"/>
    <x v="7"/>
    <x v="0"/>
    <x v="3"/>
    <x v="1"/>
    <x v="8"/>
    <s v="USB Drive"/>
    <n v="452.19"/>
    <n v="1"/>
    <n v="82.905799999999999"/>
  </r>
  <r>
    <d v="2014-08-18T00:00:00"/>
    <x v="0"/>
    <x v="7"/>
    <x v="8"/>
    <x v="1"/>
    <x v="1"/>
    <x v="1"/>
    <s v="IP Phone"/>
    <n v="687.31"/>
    <n v="9"/>
    <n v="205.9879"/>
  </r>
  <r>
    <d v="2014-08-19T00:00:00"/>
    <x v="0"/>
    <x v="7"/>
    <x v="2"/>
    <x v="7"/>
    <x v="2"/>
    <x v="6"/>
    <s v="Marker Set"/>
    <n v="400.17"/>
    <n v="8"/>
    <n v="34.500300000000003"/>
  </r>
  <r>
    <d v="2014-08-19T00:00:00"/>
    <x v="0"/>
    <x v="7"/>
    <x v="0"/>
    <x v="7"/>
    <x v="2"/>
    <x v="3"/>
    <s v="View Binder"/>
    <n v="500.26"/>
    <n v="3"/>
    <n v="12.479200000000001"/>
  </r>
  <r>
    <d v="2014-08-19T00:00:00"/>
    <x v="0"/>
    <x v="7"/>
    <x v="9"/>
    <x v="7"/>
    <x v="2"/>
    <x v="11"/>
    <s v="Shipping Labels"/>
    <n v="1015.78"/>
    <n v="3"/>
    <n v="-312.10789999999997"/>
  </r>
  <r>
    <d v="2014-08-21T00:00:00"/>
    <x v="0"/>
    <x v="7"/>
    <x v="1"/>
    <x v="5"/>
    <x v="1"/>
    <x v="8"/>
    <s v="Keyboard"/>
    <n v="466.12"/>
    <n v="9"/>
    <n v="66.646600000000007"/>
  </r>
  <r>
    <d v="2014-08-23T00:00:00"/>
    <x v="0"/>
    <x v="7"/>
    <x v="6"/>
    <x v="4"/>
    <x v="0"/>
    <x v="9"/>
    <s v="Work Table"/>
    <n v="678.94"/>
    <n v="4"/>
    <n v="-34.778399999999998"/>
  </r>
  <r>
    <d v="2014-08-23T00:00:00"/>
    <x v="0"/>
    <x v="7"/>
    <x v="8"/>
    <x v="8"/>
    <x v="0"/>
    <x v="9"/>
    <s v="Work Table"/>
    <n v="23.23"/>
    <n v="10"/>
    <n v="0.45810000000000001"/>
  </r>
  <r>
    <d v="2014-08-24T00:00:00"/>
    <x v="0"/>
    <x v="7"/>
    <x v="3"/>
    <x v="3"/>
    <x v="0"/>
    <x v="2"/>
    <s v="Metal Bookcase"/>
    <n v="916.31"/>
    <n v="10"/>
    <n v="-211.1001"/>
  </r>
  <r>
    <d v="2014-08-25T00:00:00"/>
    <x v="0"/>
    <x v="7"/>
    <x v="2"/>
    <x v="4"/>
    <x v="1"/>
    <x v="10"/>
    <s v="Laser Copier"/>
    <n v="914.13"/>
    <n v="9"/>
    <n v="-36.311599999999999"/>
  </r>
  <r>
    <d v="2014-08-27T00:00:00"/>
    <x v="0"/>
    <x v="7"/>
    <x v="3"/>
    <x v="0"/>
    <x v="1"/>
    <x v="1"/>
    <s v="Business Phone"/>
    <n v="313.08999999999997"/>
    <n v="7"/>
    <n v="23.558900000000001"/>
  </r>
  <r>
    <d v="2014-08-28T00:00:00"/>
    <x v="0"/>
    <x v="7"/>
    <x v="2"/>
    <x v="2"/>
    <x v="1"/>
    <x v="8"/>
    <s v="USB Drive"/>
    <n v="1038.19"/>
    <n v="5"/>
    <n v="133.8742"/>
  </r>
  <r>
    <d v="2014-09-01T00:00:00"/>
    <x v="0"/>
    <x v="8"/>
    <x v="3"/>
    <x v="6"/>
    <x v="2"/>
    <x v="11"/>
    <s v="Shipping Labels"/>
    <n v="1176.9000000000001"/>
    <n v="1"/>
    <n v="-380.15929999999997"/>
  </r>
  <r>
    <d v="2014-09-01T00:00:00"/>
    <x v="0"/>
    <x v="8"/>
    <x v="4"/>
    <x v="7"/>
    <x v="0"/>
    <x v="5"/>
    <s v="Mesh Office Chair"/>
    <n v="463.44"/>
    <n v="6"/>
    <n v="111.066"/>
  </r>
  <r>
    <d v="2014-09-02T00:00:00"/>
    <x v="0"/>
    <x v="8"/>
    <x v="3"/>
    <x v="6"/>
    <x v="2"/>
    <x v="11"/>
    <s v="Address Labels"/>
    <n v="176.32"/>
    <n v="7"/>
    <n v="21.383700000000001"/>
  </r>
  <r>
    <d v="2014-09-04T00:00:00"/>
    <x v="0"/>
    <x v="8"/>
    <x v="5"/>
    <x v="7"/>
    <x v="1"/>
    <x v="10"/>
    <s v="Office Copier"/>
    <n v="1139.3599999999999"/>
    <n v="8"/>
    <n v="-308.01549999999997"/>
  </r>
  <r>
    <d v="2014-09-04T00:00:00"/>
    <x v="0"/>
    <x v="8"/>
    <x v="5"/>
    <x v="9"/>
    <x v="2"/>
    <x v="11"/>
    <s v="Shipping Labels"/>
    <n v="1044.3900000000001"/>
    <n v="4"/>
    <n v="167.89510000000001"/>
  </r>
  <r>
    <d v="2014-09-05T00:00:00"/>
    <x v="0"/>
    <x v="8"/>
    <x v="3"/>
    <x v="8"/>
    <x v="2"/>
    <x v="6"/>
    <s v="Marker Set"/>
    <n v="866.93"/>
    <n v="6"/>
    <n v="-269.0378"/>
  </r>
  <r>
    <d v="2014-09-05T00:00:00"/>
    <x v="0"/>
    <x v="8"/>
    <x v="8"/>
    <x v="9"/>
    <x v="2"/>
    <x v="3"/>
    <s v="Ring Binder"/>
    <n v="676.57"/>
    <n v="8"/>
    <n v="-139.80199999999999"/>
  </r>
  <r>
    <d v="2014-09-05T00:00:00"/>
    <x v="0"/>
    <x v="8"/>
    <x v="9"/>
    <x v="6"/>
    <x v="1"/>
    <x v="8"/>
    <s v="USB Drive"/>
    <n v="446.66"/>
    <n v="5"/>
    <n v="-165.16970000000001"/>
  </r>
  <r>
    <d v="2014-09-07T00:00:00"/>
    <x v="0"/>
    <x v="8"/>
    <x v="9"/>
    <x v="7"/>
    <x v="1"/>
    <x v="8"/>
    <s v="Keyboard"/>
    <n v="690.3"/>
    <n v="9"/>
    <n v="-79.5428"/>
  </r>
  <r>
    <d v="2014-09-08T00:00:00"/>
    <x v="0"/>
    <x v="8"/>
    <x v="9"/>
    <x v="5"/>
    <x v="2"/>
    <x v="6"/>
    <s v="Marker Set"/>
    <n v="1139.07"/>
    <n v="8"/>
    <n v="-377.31119999999999"/>
  </r>
  <r>
    <d v="2014-09-08T00:00:00"/>
    <x v="0"/>
    <x v="8"/>
    <x v="9"/>
    <x v="4"/>
    <x v="1"/>
    <x v="1"/>
    <s v="Business Phone"/>
    <n v="495.92"/>
    <n v="7"/>
    <n v="124.5102"/>
  </r>
  <r>
    <d v="2014-09-11T00:00:00"/>
    <x v="0"/>
    <x v="8"/>
    <x v="1"/>
    <x v="8"/>
    <x v="2"/>
    <x v="11"/>
    <s v="Shipping Labels"/>
    <n v="819"/>
    <n v="4"/>
    <n v="-98.812299999999993"/>
  </r>
  <r>
    <d v="2014-09-11T00:00:00"/>
    <x v="0"/>
    <x v="8"/>
    <x v="9"/>
    <x v="8"/>
    <x v="1"/>
    <x v="10"/>
    <s v="Laser Copier"/>
    <n v="62.04"/>
    <n v="2"/>
    <n v="-3.9363000000000001"/>
  </r>
  <r>
    <d v="2014-09-12T00:00:00"/>
    <x v="0"/>
    <x v="8"/>
    <x v="5"/>
    <x v="5"/>
    <x v="0"/>
    <x v="0"/>
    <s v="Desk Lamp"/>
    <n v="1115.67"/>
    <n v="3"/>
    <n v="-77.020899999999997"/>
  </r>
  <r>
    <d v="2014-09-12T00:00:00"/>
    <x v="0"/>
    <x v="8"/>
    <x v="5"/>
    <x v="4"/>
    <x v="2"/>
    <x v="6"/>
    <s v="Sketch Pad"/>
    <n v="786.31"/>
    <n v="5"/>
    <n v="-68.513099999999994"/>
  </r>
  <r>
    <d v="2014-09-14T00:00:00"/>
    <x v="0"/>
    <x v="8"/>
    <x v="3"/>
    <x v="7"/>
    <x v="2"/>
    <x v="11"/>
    <s v="Address Labels"/>
    <n v="1166.99"/>
    <n v="2"/>
    <n v="-72.959199999999996"/>
  </r>
  <r>
    <d v="2014-09-15T00:00:00"/>
    <x v="0"/>
    <x v="8"/>
    <x v="5"/>
    <x v="5"/>
    <x v="2"/>
    <x v="7"/>
    <s v="Storage Box"/>
    <n v="587.97"/>
    <n v="6"/>
    <n v="197.7089"/>
  </r>
  <r>
    <d v="2014-09-16T00:00:00"/>
    <x v="0"/>
    <x v="8"/>
    <x v="0"/>
    <x v="6"/>
    <x v="0"/>
    <x v="2"/>
    <s v="Metal Bookcase"/>
    <n v="626.96"/>
    <n v="9"/>
    <n v="-117.2754"/>
  </r>
  <r>
    <d v="2014-09-18T00:00:00"/>
    <x v="0"/>
    <x v="8"/>
    <x v="9"/>
    <x v="6"/>
    <x v="0"/>
    <x v="0"/>
    <s v="Wall Frame"/>
    <n v="874.79"/>
    <n v="4"/>
    <n v="197.80420000000001"/>
  </r>
  <r>
    <d v="2014-09-18T00:00:00"/>
    <x v="0"/>
    <x v="8"/>
    <x v="3"/>
    <x v="1"/>
    <x v="0"/>
    <x v="9"/>
    <s v="Round Table"/>
    <n v="584.29"/>
    <n v="8"/>
    <n v="-177.0171"/>
  </r>
  <r>
    <d v="2014-09-19T00:00:00"/>
    <x v="0"/>
    <x v="8"/>
    <x v="2"/>
    <x v="1"/>
    <x v="0"/>
    <x v="9"/>
    <s v="Conference Table"/>
    <n v="690.32"/>
    <n v="3"/>
    <n v="-206.376"/>
  </r>
  <r>
    <d v="2014-09-20T00:00:00"/>
    <x v="0"/>
    <x v="8"/>
    <x v="4"/>
    <x v="4"/>
    <x v="2"/>
    <x v="3"/>
    <s v="View Binder"/>
    <n v="890.4"/>
    <n v="9"/>
    <n v="153.3168"/>
  </r>
  <r>
    <d v="2014-09-22T00:00:00"/>
    <x v="0"/>
    <x v="8"/>
    <x v="5"/>
    <x v="3"/>
    <x v="0"/>
    <x v="2"/>
    <s v="Metal Bookcase"/>
    <n v="127.74"/>
    <n v="9"/>
    <n v="5.3015999999999996"/>
  </r>
  <r>
    <d v="2014-09-23T00:00:00"/>
    <x v="0"/>
    <x v="8"/>
    <x v="9"/>
    <x v="6"/>
    <x v="0"/>
    <x v="5"/>
    <s v="Ergo Chair"/>
    <n v="218.47"/>
    <n v="1"/>
    <n v="-54.276800000000001"/>
  </r>
  <r>
    <d v="2014-09-24T00:00:00"/>
    <x v="0"/>
    <x v="8"/>
    <x v="5"/>
    <x v="1"/>
    <x v="2"/>
    <x v="4"/>
    <s v="Premium Paper"/>
    <n v="197.31"/>
    <n v="5"/>
    <n v="-78.0886"/>
  </r>
  <r>
    <d v="2014-09-24T00:00:00"/>
    <x v="0"/>
    <x v="8"/>
    <x v="0"/>
    <x v="8"/>
    <x v="1"/>
    <x v="8"/>
    <s v="Keyboard"/>
    <n v="520.41"/>
    <n v="4"/>
    <n v="26.052800000000001"/>
  </r>
  <r>
    <d v="2014-09-26T00:00:00"/>
    <x v="0"/>
    <x v="8"/>
    <x v="1"/>
    <x v="9"/>
    <x v="0"/>
    <x v="2"/>
    <s v="Metal Bookcase"/>
    <n v="807.67"/>
    <n v="5"/>
    <n v="-46.103099999999998"/>
  </r>
  <r>
    <d v="2014-09-26T00:00:00"/>
    <x v="0"/>
    <x v="8"/>
    <x v="8"/>
    <x v="1"/>
    <x v="2"/>
    <x v="3"/>
    <s v="Ring Binder"/>
    <n v="1108.47"/>
    <n v="8"/>
    <n v="-153.90280000000001"/>
  </r>
  <r>
    <d v="2014-09-26T00:00:00"/>
    <x v="0"/>
    <x v="8"/>
    <x v="9"/>
    <x v="2"/>
    <x v="1"/>
    <x v="10"/>
    <s v="Laser Copier"/>
    <n v="1060.3900000000001"/>
    <n v="7"/>
    <n v="339.16840000000002"/>
  </r>
  <r>
    <d v="2014-09-27T00:00:00"/>
    <x v="0"/>
    <x v="8"/>
    <x v="5"/>
    <x v="8"/>
    <x v="2"/>
    <x v="3"/>
    <s v="View Binder"/>
    <n v="112.71"/>
    <n v="5"/>
    <n v="-17.465599999999998"/>
  </r>
  <r>
    <d v="2014-09-27T00:00:00"/>
    <x v="0"/>
    <x v="8"/>
    <x v="3"/>
    <x v="8"/>
    <x v="1"/>
    <x v="1"/>
    <s v="IP Phone"/>
    <n v="1152.72"/>
    <n v="1"/>
    <n v="77.140299999999996"/>
  </r>
  <r>
    <d v="2014-10-01T00:00:00"/>
    <x v="0"/>
    <x v="9"/>
    <x v="0"/>
    <x v="9"/>
    <x v="1"/>
    <x v="1"/>
    <s v="IP Phone"/>
    <n v="576.42999999999995"/>
    <n v="8"/>
    <n v="92.690600000000003"/>
  </r>
  <r>
    <d v="2014-10-03T00:00:00"/>
    <x v="0"/>
    <x v="9"/>
    <x v="6"/>
    <x v="7"/>
    <x v="0"/>
    <x v="2"/>
    <s v="Wood Bookcase"/>
    <n v="321.04000000000002"/>
    <n v="2"/>
    <n v="50.3431"/>
  </r>
  <r>
    <d v="2014-10-03T00:00:00"/>
    <x v="0"/>
    <x v="9"/>
    <x v="9"/>
    <x v="1"/>
    <x v="0"/>
    <x v="2"/>
    <s v="Wood Bookcase"/>
    <n v="18.87"/>
    <n v="1"/>
    <n v="-5.5101000000000004"/>
  </r>
  <r>
    <d v="2014-10-04T00:00:00"/>
    <x v="0"/>
    <x v="9"/>
    <x v="3"/>
    <x v="7"/>
    <x v="2"/>
    <x v="4"/>
    <s v="Premium Paper"/>
    <n v="1163.5999999999999"/>
    <n v="9"/>
    <n v="-310.94009999999997"/>
  </r>
  <r>
    <d v="2014-10-05T00:00:00"/>
    <x v="0"/>
    <x v="9"/>
    <x v="4"/>
    <x v="4"/>
    <x v="0"/>
    <x v="2"/>
    <s v="Metal Bookcase"/>
    <n v="937.72"/>
    <n v="9"/>
    <n v="243.33779999999999"/>
  </r>
  <r>
    <d v="2014-10-09T00:00:00"/>
    <x v="0"/>
    <x v="9"/>
    <x v="9"/>
    <x v="4"/>
    <x v="2"/>
    <x v="11"/>
    <s v="Shipping Labels"/>
    <n v="200.72"/>
    <n v="4"/>
    <n v="-75.436199999999999"/>
  </r>
  <r>
    <d v="2014-10-10T00:00:00"/>
    <x v="0"/>
    <x v="9"/>
    <x v="8"/>
    <x v="4"/>
    <x v="1"/>
    <x v="8"/>
    <s v="Keyboard"/>
    <n v="151.97"/>
    <n v="4"/>
    <n v="-10.7395"/>
  </r>
  <r>
    <d v="2014-10-11T00:00:00"/>
    <x v="0"/>
    <x v="9"/>
    <x v="9"/>
    <x v="1"/>
    <x v="2"/>
    <x v="4"/>
    <s v="A4 Paper Pack"/>
    <n v="608.19000000000005"/>
    <n v="8"/>
    <n v="104.1581"/>
  </r>
  <r>
    <d v="2014-10-12T00:00:00"/>
    <x v="0"/>
    <x v="9"/>
    <x v="7"/>
    <x v="7"/>
    <x v="0"/>
    <x v="9"/>
    <s v="Work Table"/>
    <n v="229.93"/>
    <n v="7"/>
    <n v="53.457700000000003"/>
  </r>
  <r>
    <d v="2014-10-14T00:00:00"/>
    <x v="0"/>
    <x v="9"/>
    <x v="3"/>
    <x v="0"/>
    <x v="0"/>
    <x v="2"/>
    <s v="Wood Bookcase"/>
    <n v="865.77"/>
    <n v="8"/>
    <n v="-226.80070000000001"/>
  </r>
  <r>
    <d v="2014-10-14T00:00:00"/>
    <x v="0"/>
    <x v="9"/>
    <x v="6"/>
    <x v="1"/>
    <x v="1"/>
    <x v="8"/>
    <s v="Mouse"/>
    <n v="866.93"/>
    <n v="8"/>
    <n v="301.7799"/>
  </r>
  <r>
    <d v="2014-10-17T00:00:00"/>
    <x v="0"/>
    <x v="9"/>
    <x v="4"/>
    <x v="3"/>
    <x v="0"/>
    <x v="2"/>
    <s v="Metal Bookcase"/>
    <n v="835.61"/>
    <n v="1"/>
    <n v="-98.221800000000002"/>
  </r>
  <r>
    <d v="2014-10-17T00:00:00"/>
    <x v="0"/>
    <x v="9"/>
    <x v="6"/>
    <x v="3"/>
    <x v="0"/>
    <x v="5"/>
    <s v="Executive Chair"/>
    <n v="589.23"/>
    <n v="1"/>
    <n v="-27.449400000000001"/>
  </r>
  <r>
    <d v="2014-10-18T00:00:00"/>
    <x v="0"/>
    <x v="9"/>
    <x v="2"/>
    <x v="6"/>
    <x v="2"/>
    <x v="4"/>
    <s v="Premium Paper"/>
    <n v="316.19"/>
    <n v="6"/>
    <n v="-116.0033"/>
  </r>
  <r>
    <d v="2014-10-20T00:00:00"/>
    <x v="0"/>
    <x v="9"/>
    <x v="9"/>
    <x v="8"/>
    <x v="0"/>
    <x v="0"/>
    <s v="Desk Lamp"/>
    <n v="86.75"/>
    <n v="10"/>
    <n v="-34.148600000000002"/>
  </r>
  <r>
    <d v="2014-10-20T00:00:00"/>
    <x v="0"/>
    <x v="9"/>
    <x v="3"/>
    <x v="0"/>
    <x v="0"/>
    <x v="9"/>
    <s v="Work Table"/>
    <n v="954.57"/>
    <n v="3"/>
    <n v="64.346400000000003"/>
  </r>
  <r>
    <d v="2014-10-21T00:00:00"/>
    <x v="0"/>
    <x v="9"/>
    <x v="0"/>
    <x v="9"/>
    <x v="2"/>
    <x v="3"/>
    <s v="Ring Binder"/>
    <n v="681.75"/>
    <n v="7"/>
    <n v="-237.12010000000001"/>
  </r>
  <r>
    <d v="2014-10-24T00:00:00"/>
    <x v="0"/>
    <x v="9"/>
    <x v="3"/>
    <x v="0"/>
    <x v="0"/>
    <x v="0"/>
    <s v="Wall Frame"/>
    <n v="463.39"/>
    <n v="10"/>
    <n v="-8.7207000000000008"/>
  </r>
  <r>
    <d v="2014-10-25T00:00:00"/>
    <x v="0"/>
    <x v="9"/>
    <x v="2"/>
    <x v="5"/>
    <x v="1"/>
    <x v="8"/>
    <s v="USB Drive"/>
    <n v="1025.33"/>
    <n v="10"/>
    <n v="234.29900000000001"/>
  </r>
  <r>
    <d v="2014-10-25T00:00:00"/>
    <x v="0"/>
    <x v="9"/>
    <x v="1"/>
    <x v="5"/>
    <x v="0"/>
    <x v="0"/>
    <s v="Wall Frame"/>
    <n v="781.44"/>
    <n v="7"/>
    <n v="180.95590000000001"/>
  </r>
  <r>
    <d v="2014-10-26T00:00:00"/>
    <x v="0"/>
    <x v="9"/>
    <x v="9"/>
    <x v="9"/>
    <x v="2"/>
    <x v="3"/>
    <s v="Ring Binder"/>
    <n v="24.38"/>
    <n v="9"/>
    <n v="7.3400999999999996"/>
  </r>
  <r>
    <d v="2014-10-26T00:00:00"/>
    <x v="0"/>
    <x v="9"/>
    <x v="5"/>
    <x v="8"/>
    <x v="0"/>
    <x v="2"/>
    <s v="Metal Bookcase"/>
    <n v="531.35"/>
    <n v="4"/>
    <n v="-132.96289999999999"/>
  </r>
  <r>
    <d v="2014-10-26T00:00:00"/>
    <x v="0"/>
    <x v="9"/>
    <x v="0"/>
    <x v="3"/>
    <x v="2"/>
    <x v="7"/>
    <s v="File Cart"/>
    <n v="39.380000000000003"/>
    <n v="5"/>
    <n v="-8.7969000000000008"/>
  </r>
  <r>
    <d v="2014-10-31T00:00:00"/>
    <x v="0"/>
    <x v="9"/>
    <x v="0"/>
    <x v="2"/>
    <x v="0"/>
    <x v="9"/>
    <s v="Work Table"/>
    <n v="114"/>
    <n v="4"/>
    <n v="37.1982"/>
  </r>
  <r>
    <d v="2014-10-31T00:00:00"/>
    <x v="0"/>
    <x v="9"/>
    <x v="4"/>
    <x v="3"/>
    <x v="0"/>
    <x v="2"/>
    <s v="Metal Bookcase"/>
    <n v="571.41999999999996"/>
    <n v="1"/>
    <n v="-178.65780000000001"/>
  </r>
  <r>
    <d v="2014-11-01T00:00:00"/>
    <x v="0"/>
    <x v="10"/>
    <x v="0"/>
    <x v="2"/>
    <x v="1"/>
    <x v="10"/>
    <s v="Laser Copier"/>
    <n v="538.62"/>
    <n v="8"/>
    <n v="-76.03"/>
  </r>
  <r>
    <d v="2014-11-01T00:00:00"/>
    <x v="0"/>
    <x v="10"/>
    <x v="3"/>
    <x v="1"/>
    <x v="0"/>
    <x v="0"/>
    <s v="Office Clock"/>
    <n v="1181.0999999999999"/>
    <n v="5"/>
    <n v="273.0154"/>
  </r>
  <r>
    <d v="2014-11-02T00:00:00"/>
    <x v="0"/>
    <x v="10"/>
    <x v="6"/>
    <x v="3"/>
    <x v="2"/>
    <x v="3"/>
    <s v="Ring Binder"/>
    <n v="1090.55"/>
    <n v="3"/>
    <n v="-377.81299999999999"/>
  </r>
  <r>
    <d v="2014-11-02T00:00:00"/>
    <x v="0"/>
    <x v="10"/>
    <x v="2"/>
    <x v="2"/>
    <x v="1"/>
    <x v="1"/>
    <s v="IP Phone"/>
    <n v="546.29999999999995"/>
    <n v="5"/>
    <n v="-58.734400000000001"/>
  </r>
  <r>
    <d v="2014-11-03T00:00:00"/>
    <x v="0"/>
    <x v="10"/>
    <x v="5"/>
    <x v="3"/>
    <x v="1"/>
    <x v="10"/>
    <s v="Laser Copier"/>
    <n v="728.59"/>
    <n v="3"/>
    <n v="-31.4009"/>
  </r>
  <r>
    <d v="2014-11-04T00:00:00"/>
    <x v="0"/>
    <x v="10"/>
    <x v="8"/>
    <x v="7"/>
    <x v="1"/>
    <x v="8"/>
    <s v="USB Drive"/>
    <n v="228.35"/>
    <n v="6"/>
    <n v="11.763500000000001"/>
  </r>
  <r>
    <d v="2014-11-05T00:00:00"/>
    <x v="0"/>
    <x v="10"/>
    <x v="9"/>
    <x v="9"/>
    <x v="1"/>
    <x v="1"/>
    <s v="IP Phone"/>
    <n v="281.36"/>
    <n v="3"/>
    <n v="36.5246"/>
  </r>
  <r>
    <d v="2014-11-05T00:00:00"/>
    <x v="0"/>
    <x v="10"/>
    <x v="0"/>
    <x v="6"/>
    <x v="1"/>
    <x v="1"/>
    <s v="Business Phone"/>
    <n v="1050.6199999999999"/>
    <n v="9"/>
    <n v="329.97719999999998"/>
  </r>
  <r>
    <d v="2014-11-06T00:00:00"/>
    <x v="0"/>
    <x v="10"/>
    <x v="3"/>
    <x v="8"/>
    <x v="0"/>
    <x v="2"/>
    <s v="Wood Bookcase"/>
    <n v="903.92"/>
    <n v="2"/>
    <n v="-303.46359999999999"/>
  </r>
  <r>
    <d v="2014-11-07T00:00:00"/>
    <x v="0"/>
    <x v="10"/>
    <x v="7"/>
    <x v="5"/>
    <x v="1"/>
    <x v="8"/>
    <s v="USB Drive"/>
    <n v="413.43"/>
    <n v="7"/>
    <n v="38.3245"/>
  </r>
  <r>
    <d v="2014-11-07T00:00:00"/>
    <x v="0"/>
    <x v="10"/>
    <x v="7"/>
    <x v="9"/>
    <x v="1"/>
    <x v="10"/>
    <s v="Office Copier"/>
    <n v="905.08"/>
    <n v="9"/>
    <n v="-75.762699999999995"/>
  </r>
  <r>
    <d v="2014-11-10T00:00:00"/>
    <x v="0"/>
    <x v="10"/>
    <x v="6"/>
    <x v="4"/>
    <x v="2"/>
    <x v="4"/>
    <s v="A4 Paper Pack"/>
    <n v="65.37"/>
    <n v="7"/>
    <n v="21.459700000000002"/>
  </r>
  <r>
    <d v="2014-11-12T00:00:00"/>
    <x v="0"/>
    <x v="10"/>
    <x v="0"/>
    <x v="4"/>
    <x v="0"/>
    <x v="2"/>
    <s v="Wood Bookcase"/>
    <n v="371.62"/>
    <n v="7"/>
    <n v="40.490400000000001"/>
  </r>
  <r>
    <d v="2014-11-13T00:00:00"/>
    <x v="0"/>
    <x v="10"/>
    <x v="3"/>
    <x v="5"/>
    <x v="1"/>
    <x v="1"/>
    <s v="Business Phone"/>
    <n v="94.42"/>
    <n v="5"/>
    <n v="-13.7928"/>
  </r>
  <r>
    <d v="2014-11-19T00:00:00"/>
    <x v="0"/>
    <x v="10"/>
    <x v="8"/>
    <x v="7"/>
    <x v="1"/>
    <x v="8"/>
    <s v="Keyboard"/>
    <n v="855.61"/>
    <n v="3"/>
    <n v="167.07689999999999"/>
  </r>
  <r>
    <d v="2014-11-20T00:00:00"/>
    <x v="0"/>
    <x v="10"/>
    <x v="9"/>
    <x v="6"/>
    <x v="0"/>
    <x v="2"/>
    <s v="Metal Bookcase"/>
    <n v="528.63"/>
    <n v="9"/>
    <n v="67.482200000000006"/>
  </r>
  <r>
    <d v="2014-11-20T00:00:00"/>
    <x v="0"/>
    <x v="10"/>
    <x v="7"/>
    <x v="8"/>
    <x v="2"/>
    <x v="3"/>
    <s v="Ring Binder"/>
    <n v="530.33000000000004"/>
    <n v="8"/>
    <n v="-27.401299999999999"/>
  </r>
  <r>
    <d v="2014-11-23T00:00:00"/>
    <x v="0"/>
    <x v="10"/>
    <x v="6"/>
    <x v="4"/>
    <x v="1"/>
    <x v="1"/>
    <s v="Business Phone"/>
    <n v="219.08"/>
    <n v="10"/>
    <n v="20.716200000000001"/>
  </r>
  <r>
    <d v="2014-11-25T00:00:00"/>
    <x v="0"/>
    <x v="10"/>
    <x v="8"/>
    <x v="7"/>
    <x v="0"/>
    <x v="2"/>
    <s v="Wood Bookcase"/>
    <n v="330.99"/>
    <n v="9"/>
    <n v="-95.817800000000005"/>
  </r>
  <r>
    <d v="2014-11-25T00:00:00"/>
    <x v="0"/>
    <x v="10"/>
    <x v="4"/>
    <x v="3"/>
    <x v="2"/>
    <x v="11"/>
    <s v="Shipping Labels"/>
    <n v="52.09"/>
    <n v="8"/>
    <n v="14.7294"/>
  </r>
  <r>
    <d v="2014-11-26T00:00:00"/>
    <x v="0"/>
    <x v="10"/>
    <x v="9"/>
    <x v="3"/>
    <x v="2"/>
    <x v="4"/>
    <s v="A4 Paper Pack"/>
    <n v="224.87"/>
    <n v="10"/>
    <n v="50.834400000000002"/>
  </r>
  <r>
    <d v="2014-11-29T00:00:00"/>
    <x v="0"/>
    <x v="10"/>
    <x v="7"/>
    <x v="2"/>
    <x v="1"/>
    <x v="1"/>
    <s v="IP Phone"/>
    <n v="1171.57"/>
    <n v="3"/>
    <n v="305.8526"/>
  </r>
  <r>
    <d v="2014-12-04T00:00:00"/>
    <x v="0"/>
    <x v="11"/>
    <x v="6"/>
    <x v="0"/>
    <x v="1"/>
    <x v="1"/>
    <s v="Business Phone"/>
    <n v="730.74"/>
    <n v="7"/>
    <n v="-206.19450000000001"/>
  </r>
  <r>
    <d v="2014-12-05T00:00:00"/>
    <x v="0"/>
    <x v="11"/>
    <x v="4"/>
    <x v="4"/>
    <x v="0"/>
    <x v="0"/>
    <s v="Wall Frame"/>
    <n v="321.74"/>
    <n v="10"/>
    <n v="-26.590699999999998"/>
  </r>
  <r>
    <d v="2014-12-05T00:00:00"/>
    <x v="0"/>
    <x v="11"/>
    <x v="7"/>
    <x v="9"/>
    <x v="1"/>
    <x v="10"/>
    <s v="Laser Copier"/>
    <n v="1009.4"/>
    <n v="3"/>
    <n v="338.69560000000001"/>
  </r>
  <r>
    <d v="2014-12-07T00:00:00"/>
    <x v="0"/>
    <x v="11"/>
    <x v="4"/>
    <x v="5"/>
    <x v="1"/>
    <x v="1"/>
    <s v="IP Phone"/>
    <n v="313.62"/>
    <n v="3"/>
    <n v="-3.9264000000000001"/>
  </r>
  <r>
    <d v="2014-12-07T00:00:00"/>
    <x v="0"/>
    <x v="11"/>
    <x v="5"/>
    <x v="4"/>
    <x v="2"/>
    <x v="6"/>
    <s v="Sketch Pad"/>
    <n v="744.26"/>
    <n v="3"/>
    <n v="99.626000000000005"/>
  </r>
  <r>
    <d v="2014-12-09T00:00:00"/>
    <x v="0"/>
    <x v="11"/>
    <x v="9"/>
    <x v="2"/>
    <x v="1"/>
    <x v="8"/>
    <s v="Keyboard"/>
    <n v="224.74"/>
    <n v="1"/>
    <n v="-68.819900000000004"/>
  </r>
  <r>
    <d v="2014-12-11T00:00:00"/>
    <x v="0"/>
    <x v="11"/>
    <x v="9"/>
    <x v="6"/>
    <x v="0"/>
    <x v="0"/>
    <s v="Desk Lamp"/>
    <n v="1109.3399999999999"/>
    <n v="7"/>
    <n v="239.91040000000001"/>
  </r>
  <r>
    <d v="2014-12-12T00:00:00"/>
    <x v="0"/>
    <x v="11"/>
    <x v="5"/>
    <x v="5"/>
    <x v="2"/>
    <x v="6"/>
    <s v="Marker Set"/>
    <n v="693.65"/>
    <n v="3"/>
    <n v="-22.7636"/>
  </r>
  <r>
    <d v="2014-12-14T00:00:00"/>
    <x v="0"/>
    <x v="11"/>
    <x v="3"/>
    <x v="3"/>
    <x v="1"/>
    <x v="8"/>
    <s v="Mouse"/>
    <n v="792.33"/>
    <n v="5"/>
    <n v="-10.6259"/>
  </r>
  <r>
    <d v="2014-12-14T00:00:00"/>
    <x v="0"/>
    <x v="11"/>
    <x v="4"/>
    <x v="5"/>
    <x v="1"/>
    <x v="1"/>
    <s v="Business Phone"/>
    <n v="606.98"/>
    <n v="6"/>
    <n v="156.85730000000001"/>
  </r>
  <r>
    <d v="2014-12-15T00:00:00"/>
    <x v="0"/>
    <x v="11"/>
    <x v="2"/>
    <x v="9"/>
    <x v="0"/>
    <x v="2"/>
    <s v="Wood Bookcase"/>
    <n v="695.86"/>
    <n v="9"/>
    <n v="167.8783"/>
  </r>
  <r>
    <d v="2014-12-17T00:00:00"/>
    <x v="0"/>
    <x v="11"/>
    <x v="8"/>
    <x v="7"/>
    <x v="1"/>
    <x v="1"/>
    <s v="IP Phone"/>
    <n v="792.19"/>
    <n v="10"/>
    <n v="-116.28189999999999"/>
  </r>
  <r>
    <d v="2014-12-19T00:00:00"/>
    <x v="0"/>
    <x v="11"/>
    <x v="3"/>
    <x v="2"/>
    <x v="1"/>
    <x v="8"/>
    <s v="USB Drive"/>
    <n v="334.12"/>
    <n v="3"/>
    <n v="21.277899999999999"/>
  </r>
  <r>
    <d v="2014-12-19T00:00:00"/>
    <x v="0"/>
    <x v="11"/>
    <x v="6"/>
    <x v="5"/>
    <x v="0"/>
    <x v="9"/>
    <s v="Conference Table"/>
    <n v="761.03"/>
    <n v="5"/>
    <n v="164.04339999999999"/>
  </r>
  <r>
    <d v="2014-12-19T00:00:00"/>
    <x v="0"/>
    <x v="11"/>
    <x v="9"/>
    <x v="4"/>
    <x v="2"/>
    <x v="4"/>
    <s v="Premium Paper"/>
    <n v="853.32"/>
    <n v="1"/>
    <n v="135.1191"/>
  </r>
  <r>
    <d v="2014-12-23T00:00:00"/>
    <x v="0"/>
    <x v="11"/>
    <x v="1"/>
    <x v="1"/>
    <x v="1"/>
    <x v="8"/>
    <s v="Mouse"/>
    <n v="740.54"/>
    <n v="5"/>
    <n v="-70.6798"/>
  </r>
  <r>
    <d v="2014-12-23T00:00:00"/>
    <x v="0"/>
    <x v="11"/>
    <x v="9"/>
    <x v="3"/>
    <x v="1"/>
    <x v="8"/>
    <s v="USB Drive"/>
    <n v="322.11"/>
    <n v="3"/>
    <n v="50.342100000000002"/>
  </r>
  <r>
    <d v="2014-12-23T00:00:00"/>
    <x v="0"/>
    <x v="11"/>
    <x v="7"/>
    <x v="7"/>
    <x v="0"/>
    <x v="2"/>
    <s v="Metal Bookcase"/>
    <n v="42.14"/>
    <n v="7"/>
    <n v="10.153700000000001"/>
  </r>
  <r>
    <d v="2014-12-24T00:00:00"/>
    <x v="0"/>
    <x v="11"/>
    <x v="0"/>
    <x v="8"/>
    <x v="2"/>
    <x v="3"/>
    <s v="Ring Binder"/>
    <n v="1049.5999999999999"/>
    <n v="5"/>
    <n v="-136.279"/>
  </r>
  <r>
    <d v="2014-12-24T00:00:00"/>
    <x v="0"/>
    <x v="11"/>
    <x v="4"/>
    <x v="5"/>
    <x v="1"/>
    <x v="8"/>
    <s v="Keyboard"/>
    <n v="551.35"/>
    <n v="2"/>
    <n v="68.192899999999995"/>
  </r>
  <r>
    <d v="2014-12-24T00:00:00"/>
    <x v="0"/>
    <x v="11"/>
    <x v="5"/>
    <x v="9"/>
    <x v="2"/>
    <x v="6"/>
    <s v="Marker Set"/>
    <n v="994.4"/>
    <n v="9"/>
    <n v="-373.91680000000002"/>
  </r>
  <r>
    <d v="2014-12-25T00:00:00"/>
    <x v="0"/>
    <x v="11"/>
    <x v="9"/>
    <x v="4"/>
    <x v="0"/>
    <x v="2"/>
    <s v="Metal Bookcase"/>
    <n v="997.31"/>
    <n v="8"/>
    <n v="334.71159999999998"/>
  </r>
  <r>
    <d v="2014-12-27T00:00:00"/>
    <x v="0"/>
    <x v="11"/>
    <x v="1"/>
    <x v="2"/>
    <x v="2"/>
    <x v="6"/>
    <s v="Marker Set"/>
    <n v="287.68"/>
    <n v="6"/>
    <n v="58.875900000000001"/>
  </r>
  <r>
    <d v="2014-12-28T00:00:00"/>
    <x v="0"/>
    <x v="11"/>
    <x v="1"/>
    <x v="6"/>
    <x v="0"/>
    <x v="0"/>
    <s v="Office Clock"/>
    <n v="195.91"/>
    <n v="1"/>
    <n v="-70.425600000000003"/>
  </r>
  <r>
    <d v="2014-12-31T00:00:00"/>
    <x v="0"/>
    <x v="11"/>
    <x v="9"/>
    <x v="5"/>
    <x v="0"/>
    <x v="5"/>
    <s v="Ergo Chair"/>
    <n v="954.09"/>
    <n v="9"/>
    <n v="-331.22989999999999"/>
  </r>
  <r>
    <d v="2015-01-01T00:00:00"/>
    <x v="1"/>
    <x v="0"/>
    <x v="4"/>
    <x v="9"/>
    <x v="0"/>
    <x v="5"/>
    <s v="Mesh Office Chair"/>
    <n v="698.8"/>
    <n v="5"/>
    <n v="-259.46940000000001"/>
  </r>
  <r>
    <d v="2015-01-01T00:00:00"/>
    <x v="1"/>
    <x v="0"/>
    <x v="0"/>
    <x v="4"/>
    <x v="2"/>
    <x v="4"/>
    <s v="A4 Paper Pack"/>
    <n v="239.21"/>
    <n v="3"/>
    <n v="55.535200000000003"/>
  </r>
  <r>
    <d v="2015-01-04T00:00:00"/>
    <x v="1"/>
    <x v="0"/>
    <x v="7"/>
    <x v="3"/>
    <x v="0"/>
    <x v="5"/>
    <s v="Executive Chair"/>
    <n v="862.05"/>
    <n v="10"/>
    <n v="269.58330000000001"/>
  </r>
  <r>
    <d v="2015-01-11T00:00:00"/>
    <x v="1"/>
    <x v="0"/>
    <x v="0"/>
    <x v="7"/>
    <x v="1"/>
    <x v="1"/>
    <s v="IP Phone"/>
    <n v="918.8"/>
    <n v="10"/>
    <n v="151.1163"/>
  </r>
  <r>
    <d v="2015-01-12T00:00:00"/>
    <x v="1"/>
    <x v="0"/>
    <x v="4"/>
    <x v="9"/>
    <x v="2"/>
    <x v="3"/>
    <s v="Ring Binder"/>
    <n v="758.04"/>
    <n v="3"/>
    <n v="-301.46730000000002"/>
  </r>
  <r>
    <d v="2015-01-13T00:00:00"/>
    <x v="1"/>
    <x v="0"/>
    <x v="7"/>
    <x v="0"/>
    <x v="0"/>
    <x v="0"/>
    <s v="Wall Frame"/>
    <n v="227.73"/>
    <n v="7"/>
    <n v="-23.5275"/>
  </r>
  <r>
    <d v="2015-01-13T00:00:00"/>
    <x v="1"/>
    <x v="0"/>
    <x v="6"/>
    <x v="4"/>
    <x v="2"/>
    <x v="3"/>
    <s v="Ring Binder"/>
    <n v="384.53"/>
    <n v="3"/>
    <n v="55.875900000000001"/>
  </r>
  <r>
    <d v="2015-01-16T00:00:00"/>
    <x v="1"/>
    <x v="0"/>
    <x v="0"/>
    <x v="9"/>
    <x v="2"/>
    <x v="11"/>
    <s v="Shipping Labels"/>
    <n v="295.57"/>
    <n v="1"/>
    <n v="-104.8185"/>
  </r>
  <r>
    <d v="2015-01-17T00:00:00"/>
    <x v="1"/>
    <x v="0"/>
    <x v="9"/>
    <x v="8"/>
    <x v="0"/>
    <x v="5"/>
    <s v="Ergo Chair"/>
    <n v="601.36"/>
    <n v="7"/>
    <n v="171.4819"/>
  </r>
  <r>
    <d v="2015-01-17T00:00:00"/>
    <x v="1"/>
    <x v="0"/>
    <x v="6"/>
    <x v="1"/>
    <x v="0"/>
    <x v="0"/>
    <s v="Office Clock"/>
    <n v="523.76"/>
    <n v="7"/>
    <n v="-172.9924"/>
  </r>
  <r>
    <d v="2015-01-18T00:00:00"/>
    <x v="1"/>
    <x v="0"/>
    <x v="1"/>
    <x v="8"/>
    <x v="2"/>
    <x v="7"/>
    <s v="Storage Box"/>
    <n v="1155.1600000000001"/>
    <n v="9"/>
    <n v="-358.65940000000001"/>
  </r>
  <r>
    <d v="2015-01-20T00:00:00"/>
    <x v="1"/>
    <x v="0"/>
    <x v="5"/>
    <x v="7"/>
    <x v="2"/>
    <x v="11"/>
    <s v="Address Labels"/>
    <n v="624.54"/>
    <n v="10"/>
    <n v="104.50579999999999"/>
  </r>
  <r>
    <d v="2015-01-20T00:00:00"/>
    <x v="1"/>
    <x v="0"/>
    <x v="3"/>
    <x v="0"/>
    <x v="2"/>
    <x v="3"/>
    <s v="View Binder"/>
    <n v="517.41"/>
    <n v="7"/>
    <n v="-125.6331"/>
  </r>
  <r>
    <d v="2015-01-21T00:00:00"/>
    <x v="1"/>
    <x v="0"/>
    <x v="0"/>
    <x v="8"/>
    <x v="1"/>
    <x v="10"/>
    <s v="Laser Copier"/>
    <n v="184.17"/>
    <n v="4"/>
    <n v="50.603499999999997"/>
  </r>
  <r>
    <d v="2015-01-21T00:00:00"/>
    <x v="1"/>
    <x v="0"/>
    <x v="7"/>
    <x v="4"/>
    <x v="2"/>
    <x v="11"/>
    <s v="Shipping Labels"/>
    <n v="202.04"/>
    <n v="7"/>
    <n v="-77.918000000000006"/>
  </r>
  <r>
    <d v="2015-01-22T00:00:00"/>
    <x v="1"/>
    <x v="0"/>
    <x v="4"/>
    <x v="7"/>
    <x v="2"/>
    <x v="11"/>
    <s v="Shipping Labels"/>
    <n v="1177.03"/>
    <n v="4"/>
    <n v="33.955199999999998"/>
  </r>
  <r>
    <d v="2015-01-25T00:00:00"/>
    <x v="1"/>
    <x v="0"/>
    <x v="9"/>
    <x v="3"/>
    <x v="1"/>
    <x v="8"/>
    <s v="USB Drive"/>
    <n v="601.29999999999995"/>
    <n v="4"/>
    <n v="-134.60339999999999"/>
  </r>
  <r>
    <d v="2015-01-28T00:00:00"/>
    <x v="1"/>
    <x v="0"/>
    <x v="6"/>
    <x v="3"/>
    <x v="1"/>
    <x v="10"/>
    <s v="Laser Copier"/>
    <n v="1017.96"/>
    <n v="1"/>
    <n v="350.14109999999999"/>
  </r>
  <r>
    <d v="2015-01-29T00:00:00"/>
    <x v="1"/>
    <x v="0"/>
    <x v="2"/>
    <x v="6"/>
    <x v="0"/>
    <x v="9"/>
    <s v="Conference Table"/>
    <n v="745.64"/>
    <n v="5"/>
    <n v="157.63630000000001"/>
  </r>
  <r>
    <d v="2015-01-29T00:00:00"/>
    <x v="1"/>
    <x v="0"/>
    <x v="7"/>
    <x v="6"/>
    <x v="1"/>
    <x v="8"/>
    <s v="USB Drive"/>
    <n v="1075.3599999999999"/>
    <n v="5"/>
    <n v="228.98509999999999"/>
  </r>
  <r>
    <d v="2015-01-29T00:00:00"/>
    <x v="1"/>
    <x v="0"/>
    <x v="0"/>
    <x v="9"/>
    <x v="2"/>
    <x v="3"/>
    <s v="Ring Binder"/>
    <n v="145.41999999999999"/>
    <n v="9"/>
    <n v="48.3658"/>
  </r>
  <r>
    <d v="2015-01-30T00:00:00"/>
    <x v="1"/>
    <x v="0"/>
    <x v="0"/>
    <x v="7"/>
    <x v="1"/>
    <x v="1"/>
    <s v="IP Phone"/>
    <n v="1146.43"/>
    <n v="9"/>
    <n v="37.421399999999998"/>
  </r>
  <r>
    <d v="2015-02-01T00:00:00"/>
    <x v="1"/>
    <x v="1"/>
    <x v="1"/>
    <x v="6"/>
    <x v="2"/>
    <x v="4"/>
    <s v="A4 Paper Pack"/>
    <n v="384.75"/>
    <n v="8"/>
    <n v="-59.151600000000002"/>
  </r>
  <r>
    <d v="2015-02-01T00:00:00"/>
    <x v="1"/>
    <x v="1"/>
    <x v="8"/>
    <x v="5"/>
    <x v="1"/>
    <x v="10"/>
    <s v="Office Copier"/>
    <n v="1085.72"/>
    <n v="3"/>
    <n v="84.710899999999995"/>
  </r>
  <r>
    <d v="2015-02-02T00:00:00"/>
    <x v="1"/>
    <x v="1"/>
    <x v="7"/>
    <x v="9"/>
    <x v="0"/>
    <x v="0"/>
    <s v="Wall Frame"/>
    <n v="760.27"/>
    <n v="5"/>
    <n v="-188.80680000000001"/>
  </r>
  <r>
    <d v="2015-02-03T00:00:00"/>
    <x v="1"/>
    <x v="1"/>
    <x v="6"/>
    <x v="2"/>
    <x v="1"/>
    <x v="1"/>
    <s v="Business Phone"/>
    <n v="603.07000000000005"/>
    <n v="7"/>
    <n v="-1.5807"/>
  </r>
  <r>
    <d v="2015-02-05T00:00:00"/>
    <x v="1"/>
    <x v="1"/>
    <x v="9"/>
    <x v="8"/>
    <x v="0"/>
    <x v="0"/>
    <s v="Wall Frame"/>
    <n v="552.14"/>
    <n v="3"/>
    <n v="-94.695599999999999"/>
  </r>
  <r>
    <d v="2015-02-05T00:00:00"/>
    <x v="1"/>
    <x v="1"/>
    <x v="1"/>
    <x v="0"/>
    <x v="2"/>
    <x v="4"/>
    <s v="Premium Paper"/>
    <n v="880.29"/>
    <n v="9"/>
    <n v="149.96770000000001"/>
  </r>
  <r>
    <d v="2015-02-07T00:00:00"/>
    <x v="1"/>
    <x v="1"/>
    <x v="9"/>
    <x v="5"/>
    <x v="1"/>
    <x v="1"/>
    <s v="Business Phone"/>
    <n v="811.75"/>
    <n v="5"/>
    <n v="-140.40299999999999"/>
  </r>
  <r>
    <d v="2015-02-09T00:00:00"/>
    <x v="1"/>
    <x v="1"/>
    <x v="2"/>
    <x v="3"/>
    <x v="0"/>
    <x v="9"/>
    <s v="Work Table"/>
    <n v="212.33"/>
    <n v="3"/>
    <n v="36.130400000000002"/>
  </r>
  <r>
    <d v="2015-02-10T00:00:00"/>
    <x v="1"/>
    <x v="1"/>
    <x v="7"/>
    <x v="4"/>
    <x v="0"/>
    <x v="0"/>
    <s v="Wall Frame"/>
    <n v="587.99"/>
    <n v="10"/>
    <n v="-148.71770000000001"/>
  </r>
  <r>
    <d v="2015-02-10T00:00:00"/>
    <x v="1"/>
    <x v="1"/>
    <x v="3"/>
    <x v="2"/>
    <x v="2"/>
    <x v="6"/>
    <s v="Sketch Pad"/>
    <n v="856.91"/>
    <n v="9"/>
    <n v="-292.28410000000002"/>
  </r>
  <r>
    <d v="2015-02-12T00:00:00"/>
    <x v="1"/>
    <x v="1"/>
    <x v="3"/>
    <x v="2"/>
    <x v="1"/>
    <x v="1"/>
    <s v="IP Phone"/>
    <n v="603.28"/>
    <n v="8"/>
    <n v="12.3767"/>
  </r>
  <r>
    <d v="2015-02-12T00:00:00"/>
    <x v="1"/>
    <x v="1"/>
    <x v="3"/>
    <x v="2"/>
    <x v="1"/>
    <x v="8"/>
    <s v="Keyboard"/>
    <n v="897.77"/>
    <n v="6"/>
    <n v="-204.20009999999999"/>
  </r>
  <r>
    <d v="2015-02-12T00:00:00"/>
    <x v="1"/>
    <x v="1"/>
    <x v="1"/>
    <x v="2"/>
    <x v="2"/>
    <x v="3"/>
    <s v="Ring Binder"/>
    <n v="241.4"/>
    <n v="3"/>
    <n v="-56.92"/>
  </r>
  <r>
    <d v="2015-02-13T00:00:00"/>
    <x v="1"/>
    <x v="1"/>
    <x v="4"/>
    <x v="4"/>
    <x v="2"/>
    <x v="11"/>
    <s v="Shipping Labels"/>
    <n v="908.31"/>
    <n v="5"/>
    <n v="-144.5341"/>
  </r>
  <r>
    <d v="2015-02-13T00:00:00"/>
    <x v="1"/>
    <x v="1"/>
    <x v="4"/>
    <x v="0"/>
    <x v="1"/>
    <x v="10"/>
    <s v="Office Copier"/>
    <n v="227.28"/>
    <n v="7"/>
    <n v="-41.570099999999996"/>
  </r>
  <r>
    <d v="2015-02-16T00:00:00"/>
    <x v="1"/>
    <x v="1"/>
    <x v="4"/>
    <x v="9"/>
    <x v="1"/>
    <x v="10"/>
    <s v="Office Copier"/>
    <n v="255.61"/>
    <n v="5"/>
    <n v="29.384499999999999"/>
  </r>
  <r>
    <d v="2015-02-18T00:00:00"/>
    <x v="1"/>
    <x v="1"/>
    <x v="3"/>
    <x v="8"/>
    <x v="1"/>
    <x v="8"/>
    <s v="USB Drive"/>
    <n v="994.4"/>
    <n v="5"/>
    <n v="298.08920000000001"/>
  </r>
  <r>
    <d v="2015-02-22T00:00:00"/>
    <x v="1"/>
    <x v="1"/>
    <x v="3"/>
    <x v="9"/>
    <x v="2"/>
    <x v="7"/>
    <s v="File Cart"/>
    <n v="495.4"/>
    <n v="10"/>
    <n v="143.8596"/>
  </r>
  <r>
    <d v="2015-02-23T00:00:00"/>
    <x v="1"/>
    <x v="1"/>
    <x v="5"/>
    <x v="8"/>
    <x v="2"/>
    <x v="7"/>
    <s v="Storage Box"/>
    <n v="84.03"/>
    <n v="8"/>
    <n v="21.0366"/>
  </r>
  <r>
    <d v="2015-02-25T00:00:00"/>
    <x v="1"/>
    <x v="1"/>
    <x v="8"/>
    <x v="7"/>
    <x v="0"/>
    <x v="0"/>
    <s v="Wall Frame"/>
    <n v="826.88"/>
    <n v="6"/>
    <n v="-77.202600000000004"/>
  </r>
  <r>
    <d v="2015-02-25T00:00:00"/>
    <x v="1"/>
    <x v="1"/>
    <x v="0"/>
    <x v="5"/>
    <x v="0"/>
    <x v="5"/>
    <s v="Executive Chair"/>
    <n v="707.19"/>
    <n v="4"/>
    <n v="-184.8691"/>
  </r>
  <r>
    <d v="2015-02-26T00:00:00"/>
    <x v="1"/>
    <x v="1"/>
    <x v="9"/>
    <x v="2"/>
    <x v="0"/>
    <x v="0"/>
    <s v="Desk Lamp"/>
    <n v="406.48"/>
    <n v="9"/>
    <n v="84.788799999999995"/>
  </r>
  <r>
    <d v="2015-02-27T00:00:00"/>
    <x v="1"/>
    <x v="1"/>
    <x v="6"/>
    <x v="8"/>
    <x v="2"/>
    <x v="11"/>
    <s v="Address Labels"/>
    <n v="175.99"/>
    <n v="5"/>
    <n v="-1.3525"/>
  </r>
  <r>
    <d v="2015-02-28T00:00:00"/>
    <x v="1"/>
    <x v="1"/>
    <x v="2"/>
    <x v="9"/>
    <x v="2"/>
    <x v="6"/>
    <s v="Sketch Pad"/>
    <n v="627.73"/>
    <n v="6"/>
    <n v="-26.915900000000001"/>
  </r>
  <r>
    <d v="2015-02-28T00:00:00"/>
    <x v="1"/>
    <x v="1"/>
    <x v="6"/>
    <x v="1"/>
    <x v="0"/>
    <x v="9"/>
    <s v="Conference Table"/>
    <n v="967.5"/>
    <n v="10"/>
    <n v="-132.43950000000001"/>
  </r>
  <r>
    <d v="2015-02-28T00:00:00"/>
    <x v="1"/>
    <x v="1"/>
    <x v="0"/>
    <x v="2"/>
    <x v="2"/>
    <x v="11"/>
    <s v="Address Labels"/>
    <n v="784.7"/>
    <n v="10"/>
    <n v="4.7202999999999999"/>
  </r>
  <r>
    <d v="2015-03-01T00:00:00"/>
    <x v="1"/>
    <x v="2"/>
    <x v="6"/>
    <x v="5"/>
    <x v="0"/>
    <x v="2"/>
    <s v="Wood Bookcase"/>
    <n v="706.51"/>
    <n v="7"/>
    <n v="209.59059999999999"/>
  </r>
  <r>
    <d v="2015-03-02T00:00:00"/>
    <x v="1"/>
    <x v="2"/>
    <x v="0"/>
    <x v="2"/>
    <x v="1"/>
    <x v="1"/>
    <s v="IP Phone"/>
    <n v="752.49"/>
    <n v="5"/>
    <n v="71.728200000000001"/>
  </r>
  <r>
    <d v="2015-03-06T00:00:00"/>
    <x v="1"/>
    <x v="2"/>
    <x v="9"/>
    <x v="6"/>
    <x v="2"/>
    <x v="3"/>
    <s v="Ring Binder"/>
    <n v="973.79"/>
    <n v="10"/>
    <n v="113.78749999999999"/>
  </r>
  <r>
    <d v="2015-03-06T00:00:00"/>
    <x v="1"/>
    <x v="2"/>
    <x v="8"/>
    <x v="9"/>
    <x v="2"/>
    <x v="3"/>
    <s v="View Binder"/>
    <n v="303.2"/>
    <n v="2"/>
    <n v="-41.580599999999997"/>
  </r>
  <r>
    <d v="2015-03-07T00:00:00"/>
    <x v="1"/>
    <x v="2"/>
    <x v="0"/>
    <x v="8"/>
    <x v="0"/>
    <x v="9"/>
    <s v="Work Table"/>
    <n v="1032"/>
    <n v="3"/>
    <n v="296.09949999999998"/>
  </r>
  <r>
    <d v="2015-03-08T00:00:00"/>
    <x v="1"/>
    <x v="2"/>
    <x v="3"/>
    <x v="9"/>
    <x v="1"/>
    <x v="1"/>
    <s v="IP Phone"/>
    <n v="458.42"/>
    <n v="2"/>
    <n v="-71.478200000000001"/>
  </r>
  <r>
    <d v="2015-03-08T00:00:00"/>
    <x v="1"/>
    <x v="2"/>
    <x v="1"/>
    <x v="8"/>
    <x v="1"/>
    <x v="10"/>
    <s v="Office Copier"/>
    <n v="204.46"/>
    <n v="2"/>
    <n v="-67.131299999999996"/>
  </r>
  <r>
    <d v="2015-03-10T00:00:00"/>
    <x v="1"/>
    <x v="2"/>
    <x v="2"/>
    <x v="5"/>
    <x v="2"/>
    <x v="11"/>
    <s v="Shipping Labels"/>
    <n v="548.37"/>
    <n v="6"/>
    <n v="93.728700000000003"/>
  </r>
  <r>
    <d v="2015-03-15T00:00:00"/>
    <x v="1"/>
    <x v="2"/>
    <x v="8"/>
    <x v="7"/>
    <x v="0"/>
    <x v="2"/>
    <s v="Metal Bookcase"/>
    <n v="649.38"/>
    <n v="10"/>
    <n v="20.883199999999999"/>
  </r>
  <r>
    <d v="2015-03-16T00:00:00"/>
    <x v="1"/>
    <x v="2"/>
    <x v="8"/>
    <x v="3"/>
    <x v="2"/>
    <x v="7"/>
    <s v="Storage Box"/>
    <n v="612.47"/>
    <n v="6"/>
    <n v="122.8862"/>
  </r>
  <r>
    <d v="2015-03-17T00:00:00"/>
    <x v="1"/>
    <x v="2"/>
    <x v="2"/>
    <x v="1"/>
    <x v="2"/>
    <x v="6"/>
    <s v="Marker Set"/>
    <n v="1148.8699999999999"/>
    <n v="6"/>
    <n v="-371.47829999999999"/>
  </r>
  <r>
    <d v="2015-03-17T00:00:00"/>
    <x v="1"/>
    <x v="2"/>
    <x v="8"/>
    <x v="1"/>
    <x v="1"/>
    <x v="8"/>
    <s v="USB Drive"/>
    <n v="702.1"/>
    <n v="1"/>
    <n v="-254.22669999999999"/>
  </r>
  <r>
    <d v="2015-03-22T00:00:00"/>
    <x v="1"/>
    <x v="2"/>
    <x v="0"/>
    <x v="8"/>
    <x v="0"/>
    <x v="0"/>
    <s v="Wall Frame"/>
    <n v="882.45"/>
    <n v="6"/>
    <n v="171.7937"/>
  </r>
  <r>
    <d v="2015-03-24T00:00:00"/>
    <x v="1"/>
    <x v="2"/>
    <x v="1"/>
    <x v="6"/>
    <x v="1"/>
    <x v="1"/>
    <s v="IP Phone"/>
    <n v="609.35"/>
    <n v="6"/>
    <n v="-216.11349999999999"/>
  </r>
  <r>
    <d v="2015-03-24T00:00:00"/>
    <x v="1"/>
    <x v="2"/>
    <x v="1"/>
    <x v="9"/>
    <x v="2"/>
    <x v="6"/>
    <s v="Sketch Pad"/>
    <n v="1140.6199999999999"/>
    <n v="10"/>
    <n v="-2.4247999999999998"/>
  </r>
  <r>
    <d v="2015-03-30T00:00:00"/>
    <x v="1"/>
    <x v="2"/>
    <x v="3"/>
    <x v="0"/>
    <x v="0"/>
    <x v="5"/>
    <s v="Mesh Office Chair"/>
    <n v="488.26"/>
    <n v="4"/>
    <n v="-83.172899999999998"/>
  </r>
  <r>
    <d v="2015-03-31T00:00:00"/>
    <x v="1"/>
    <x v="2"/>
    <x v="6"/>
    <x v="1"/>
    <x v="0"/>
    <x v="5"/>
    <s v="Mesh Office Chair"/>
    <n v="448.15"/>
    <n v="10"/>
    <n v="-166.57"/>
  </r>
  <r>
    <d v="2015-04-02T00:00:00"/>
    <x v="1"/>
    <x v="3"/>
    <x v="5"/>
    <x v="0"/>
    <x v="0"/>
    <x v="5"/>
    <s v="Executive Chair"/>
    <n v="833.4"/>
    <n v="8"/>
    <n v="56.621200000000002"/>
  </r>
  <r>
    <d v="2015-04-03T00:00:00"/>
    <x v="1"/>
    <x v="3"/>
    <x v="8"/>
    <x v="5"/>
    <x v="1"/>
    <x v="8"/>
    <s v="USB Drive"/>
    <n v="171.75"/>
    <n v="2"/>
    <n v="18.467400000000001"/>
  </r>
  <r>
    <d v="2015-04-05T00:00:00"/>
    <x v="1"/>
    <x v="3"/>
    <x v="2"/>
    <x v="5"/>
    <x v="1"/>
    <x v="10"/>
    <s v="Laser Copier"/>
    <n v="389.55"/>
    <n v="7"/>
    <n v="111.75839999999999"/>
  </r>
  <r>
    <d v="2015-04-10T00:00:00"/>
    <x v="1"/>
    <x v="3"/>
    <x v="6"/>
    <x v="4"/>
    <x v="2"/>
    <x v="7"/>
    <s v="File Cart"/>
    <n v="583.66999999999996"/>
    <n v="5"/>
    <n v="103.4919"/>
  </r>
  <r>
    <d v="2015-04-10T00:00:00"/>
    <x v="1"/>
    <x v="3"/>
    <x v="8"/>
    <x v="3"/>
    <x v="0"/>
    <x v="9"/>
    <s v="Round Table"/>
    <n v="372.38"/>
    <n v="4"/>
    <n v="-112.584"/>
  </r>
  <r>
    <d v="2015-04-14T00:00:00"/>
    <x v="1"/>
    <x v="3"/>
    <x v="6"/>
    <x v="3"/>
    <x v="0"/>
    <x v="5"/>
    <s v="Executive Chair"/>
    <n v="1088.68"/>
    <n v="8"/>
    <n v="-273.58569999999997"/>
  </r>
  <r>
    <d v="2015-04-15T00:00:00"/>
    <x v="1"/>
    <x v="3"/>
    <x v="6"/>
    <x v="4"/>
    <x v="0"/>
    <x v="0"/>
    <s v="Office Clock"/>
    <n v="300.64"/>
    <n v="5"/>
    <n v="-20.3322"/>
  </r>
  <r>
    <d v="2015-04-21T00:00:00"/>
    <x v="1"/>
    <x v="3"/>
    <x v="5"/>
    <x v="8"/>
    <x v="0"/>
    <x v="5"/>
    <s v="Ergo Chair"/>
    <n v="1002.76"/>
    <n v="9"/>
    <n v="83.734499999999997"/>
  </r>
  <r>
    <d v="2015-04-21T00:00:00"/>
    <x v="1"/>
    <x v="3"/>
    <x v="0"/>
    <x v="3"/>
    <x v="2"/>
    <x v="6"/>
    <s v="Sketch Pad"/>
    <n v="611.62"/>
    <n v="10"/>
    <n v="172.3561"/>
  </r>
  <r>
    <d v="2015-04-22T00:00:00"/>
    <x v="1"/>
    <x v="3"/>
    <x v="2"/>
    <x v="0"/>
    <x v="0"/>
    <x v="5"/>
    <s v="Ergo Chair"/>
    <n v="723.99"/>
    <n v="1"/>
    <n v="-3.7383999999999999"/>
  </r>
  <r>
    <d v="2015-04-23T00:00:00"/>
    <x v="1"/>
    <x v="3"/>
    <x v="1"/>
    <x v="4"/>
    <x v="0"/>
    <x v="0"/>
    <s v="Desk Lamp"/>
    <n v="652.15"/>
    <n v="1"/>
    <n v="204.28120000000001"/>
  </r>
  <r>
    <d v="2015-04-24T00:00:00"/>
    <x v="1"/>
    <x v="3"/>
    <x v="7"/>
    <x v="9"/>
    <x v="2"/>
    <x v="11"/>
    <s v="Shipping Labels"/>
    <n v="94.25"/>
    <n v="4"/>
    <n v="-28.078600000000002"/>
  </r>
  <r>
    <d v="2015-04-24T00:00:00"/>
    <x v="1"/>
    <x v="3"/>
    <x v="8"/>
    <x v="0"/>
    <x v="0"/>
    <x v="0"/>
    <s v="Wall Frame"/>
    <n v="1096.9100000000001"/>
    <n v="1"/>
    <n v="-217.33099999999999"/>
  </r>
  <r>
    <d v="2015-04-27T00:00:00"/>
    <x v="1"/>
    <x v="3"/>
    <x v="1"/>
    <x v="7"/>
    <x v="1"/>
    <x v="8"/>
    <s v="Keyboard"/>
    <n v="99.2"/>
    <n v="8"/>
    <n v="19.933800000000002"/>
  </r>
  <r>
    <d v="2015-04-28T00:00:00"/>
    <x v="1"/>
    <x v="3"/>
    <x v="7"/>
    <x v="7"/>
    <x v="1"/>
    <x v="8"/>
    <s v="Mouse"/>
    <n v="574.13"/>
    <n v="2"/>
    <n v="-59.650199999999998"/>
  </r>
  <r>
    <d v="2015-04-29T00:00:00"/>
    <x v="1"/>
    <x v="3"/>
    <x v="9"/>
    <x v="9"/>
    <x v="1"/>
    <x v="10"/>
    <s v="Laser Copier"/>
    <n v="1122.92"/>
    <n v="4"/>
    <n v="-327.65859999999998"/>
  </r>
  <r>
    <d v="2015-04-30T00:00:00"/>
    <x v="1"/>
    <x v="3"/>
    <x v="4"/>
    <x v="3"/>
    <x v="0"/>
    <x v="9"/>
    <s v="Conference Table"/>
    <n v="949.5"/>
    <n v="1"/>
    <n v="-122.7966"/>
  </r>
  <r>
    <d v="2015-04-30T00:00:00"/>
    <x v="1"/>
    <x v="3"/>
    <x v="2"/>
    <x v="1"/>
    <x v="1"/>
    <x v="1"/>
    <s v="Business Phone"/>
    <n v="856"/>
    <n v="5"/>
    <n v="-78.642099999999999"/>
  </r>
  <r>
    <d v="2015-05-01T00:00:00"/>
    <x v="1"/>
    <x v="4"/>
    <x v="6"/>
    <x v="9"/>
    <x v="1"/>
    <x v="10"/>
    <s v="Laser Copier"/>
    <n v="365.61"/>
    <n v="3"/>
    <n v="124.0411"/>
  </r>
  <r>
    <d v="2015-05-02T00:00:00"/>
    <x v="1"/>
    <x v="4"/>
    <x v="6"/>
    <x v="7"/>
    <x v="2"/>
    <x v="3"/>
    <s v="View Binder"/>
    <n v="364.88"/>
    <n v="1"/>
    <n v="-80.700599999999994"/>
  </r>
  <r>
    <d v="2015-05-02T00:00:00"/>
    <x v="1"/>
    <x v="4"/>
    <x v="4"/>
    <x v="3"/>
    <x v="1"/>
    <x v="10"/>
    <s v="Laser Copier"/>
    <n v="615.54999999999995"/>
    <n v="5"/>
    <n v="73.682599999999994"/>
  </r>
  <r>
    <d v="2015-05-03T00:00:00"/>
    <x v="1"/>
    <x v="4"/>
    <x v="0"/>
    <x v="4"/>
    <x v="0"/>
    <x v="9"/>
    <s v="Conference Table"/>
    <n v="144.72"/>
    <n v="6"/>
    <n v="4.4710000000000001"/>
  </r>
  <r>
    <d v="2015-05-04T00:00:00"/>
    <x v="1"/>
    <x v="4"/>
    <x v="2"/>
    <x v="5"/>
    <x v="0"/>
    <x v="5"/>
    <s v="Executive Chair"/>
    <n v="589.63"/>
    <n v="2"/>
    <n v="114.71510000000001"/>
  </r>
  <r>
    <d v="2015-05-04T00:00:00"/>
    <x v="1"/>
    <x v="4"/>
    <x v="9"/>
    <x v="8"/>
    <x v="0"/>
    <x v="5"/>
    <s v="Mesh Office Chair"/>
    <n v="1150.77"/>
    <n v="1"/>
    <n v="248.82560000000001"/>
  </r>
  <r>
    <d v="2015-05-05T00:00:00"/>
    <x v="1"/>
    <x v="4"/>
    <x v="1"/>
    <x v="2"/>
    <x v="0"/>
    <x v="5"/>
    <s v="Mesh Office Chair"/>
    <n v="787.75"/>
    <n v="3"/>
    <n v="-263.79219999999998"/>
  </r>
  <r>
    <d v="2015-05-05T00:00:00"/>
    <x v="1"/>
    <x v="4"/>
    <x v="7"/>
    <x v="3"/>
    <x v="0"/>
    <x v="2"/>
    <s v="Metal Bookcase"/>
    <n v="778.93"/>
    <n v="2"/>
    <n v="-302.26560000000001"/>
  </r>
  <r>
    <d v="2015-05-06T00:00:00"/>
    <x v="1"/>
    <x v="4"/>
    <x v="1"/>
    <x v="8"/>
    <x v="0"/>
    <x v="0"/>
    <s v="Wall Frame"/>
    <n v="622.35"/>
    <n v="10"/>
    <n v="128.00569999999999"/>
  </r>
  <r>
    <d v="2015-05-08T00:00:00"/>
    <x v="1"/>
    <x v="4"/>
    <x v="2"/>
    <x v="8"/>
    <x v="2"/>
    <x v="3"/>
    <s v="View Binder"/>
    <n v="686.94"/>
    <n v="3"/>
    <n v="67.511399999999995"/>
  </r>
  <r>
    <d v="2015-05-08T00:00:00"/>
    <x v="1"/>
    <x v="4"/>
    <x v="4"/>
    <x v="5"/>
    <x v="0"/>
    <x v="2"/>
    <s v="Metal Bookcase"/>
    <n v="1085.8699999999999"/>
    <n v="10"/>
    <n v="313.7681"/>
  </r>
  <r>
    <d v="2015-05-08T00:00:00"/>
    <x v="1"/>
    <x v="4"/>
    <x v="7"/>
    <x v="1"/>
    <x v="1"/>
    <x v="8"/>
    <s v="Mouse"/>
    <n v="677.96"/>
    <n v="4"/>
    <n v="-80.475700000000003"/>
  </r>
  <r>
    <d v="2015-05-13T00:00:00"/>
    <x v="1"/>
    <x v="4"/>
    <x v="6"/>
    <x v="1"/>
    <x v="2"/>
    <x v="7"/>
    <s v="Storage Box"/>
    <n v="126.77"/>
    <n v="5"/>
    <n v="30.1358"/>
  </r>
  <r>
    <d v="2015-05-14T00:00:00"/>
    <x v="1"/>
    <x v="4"/>
    <x v="1"/>
    <x v="2"/>
    <x v="0"/>
    <x v="5"/>
    <s v="Mesh Office Chair"/>
    <n v="1186.6400000000001"/>
    <n v="10"/>
    <n v="-292.02710000000002"/>
  </r>
  <r>
    <d v="2015-05-14T00:00:00"/>
    <x v="1"/>
    <x v="4"/>
    <x v="2"/>
    <x v="9"/>
    <x v="1"/>
    <x v="1"/>
    <s v="Business Phone"/>
    <n v="1111.18"/>
    <n v="1"/>
    <n v="-333.3227"/>
  </r>
  <r>
    <d v="2015-05-18T00:00:00"/>
    <x v="1"/>
    <x v="4"/>
    <x v="4"/>
    <x v="4"/>
    <x v="0"/>
    <x v="2"/>
    <s v="Wood Bookcase"/>
    <n v="996.48"/>
    <n v="10"/>
    <n v="-66.592699999999994"/>
  </r>
  <r>
    <d v="2015-05-18T00:00:00"/>
    <x v="1"/>
    <x v="4"/>
    <x v="4"/>
    <x v="3"/>
    <x v="0"/>
    <x v="2"/>
    <s v="Wood Bookcase"/>
    <n v="647.36"/>
    <n v="7"/>
    <n v="207.8117"/>
  </r>
  <r>
    <d v="2015-05-19T00:00:00"/>
    <x v="1"/>
    <x v="4"/>
    <x v="0"/>
    <x v="8"/>
    <x v="2"/>
    <x v="7"/>
    <s v="Storage Box"/>
    <n v="778.5"/>
    <n v="8"/>
    <n v="-70.848100000000002"/>
  </r>
  <r>
    <d v="2015-05-22T00:00:00"/>
    <x v="1"/>
    <x v="4"/>
    <x v="3"/>
    <x v="7"/>
    <x v="0"/>
    <x v="0"/>
    <s v="Desk Lamp"/>
    <n v="360.76"/>
    <n v="1"/>
    <n v="-22.619900000000001"/>
  </r>
  <r>
    <d v="2015-05-24T00:00:00"/>
    <x v="1"/>
    <x v="4"/>
    <x v="5"/>
    <x v="4"/>
    <x v="1"/>
    <x v="8"/>
    <s v="Keyboard"/>
    <n v="323.83"/>
    <n v="2"/>
    <n v="-36.623100000000001"/>
  </r>
  <r>
    <d v="2015-05-24T00:00:00"/>
    <x v="1"/>
    <x v="4"/>
    <x v="8"/>
    <x v="5"/>
    <x v="2"/>
    <x v="11"/>
    <s v="Shipping Labels"/>
    <n v="1155.4100000000001"/>
    <n v="3"/>
    <n v="242.76130000000001"/>
  </r>
  <r>
    <d v="2015-05-26T00:00:00"/>
    <x v="1"/>
    <x v="4"/>
    <x v="5"/>
    <x v="4"/>
    <x v="0"/>
    <x v="9"/>
    <s v="Conference Table"/>
    <n v="44.52"/>
    <n v="1"/>
    <n v="12.8451"/>
  </r>
  <r>
    <d v="2015-05-27T00:00:00"/>
    <x v="1"/>
    <x v="4"/>
    <x v="1"/>
    <x v="8"/>
    <x v="0"/>
    <x v="9"/>
    <s v="Conference Table"/>
    <n v="1004.42"/>
    <n v="6"/>
    <n v="-284.25420000000003"/>
  </r>
  <r>
    <d v="2015-05-27T00:00:00"/>
    <x v="1"/>
    <x v="4"/>
    <x v="1"/>
    <x v="1"/>
    <x v="1"/>
    <x v="8"/>
    <s v="Keyboard"/>
    <n v="200.11"/>
    <n v="7"/>
    <n v="44.288400000000003"/>
  </r>
  <r>
    <d v="2015-05-29T00:00:00"/>
    <x v="1"/>
    <x v="4"/>
    <x v="1"/>
    <x v="2"/>
    <x v="2"/>
    <x v="7"/>
    <s v="Storage Box"/>
    <n v="814.93"/>
    <n v="3"/>
    <n v="58.011699999999998"/>
  </r>
  <r>
    <d v="2015-05-30T00:00:00"/>
    <x v="1"/>
    <x v="4"/>
    <x v="4"/>
    <x v="9"/>
    <x v="0"/>
    <x v="0"/>
    <s v="Office Clock"/>
    <n v="751.83"/>
    <n v="8"/>
    <n v="77.942400000000006"/>
  </r>
  <r>
    <d v="2015-06-01T00:00:00"/>
    <x v="1"/>
    <x v="5"/>
    <x v="4"/>
    <x v="5"/>
    <x v="2"/>
    <x v="3"/>
    <s v="View Binder"/>
    <n v="391.31"/>
    <n v="7"/>
    <n v="97.312100000000001"/>
  </r>
  <r>
    <d v="2015-06-03T00:00:00"/>
    <x v="1"/>
    <x v="5"/>
    <x v="2"/>
    <x v="5"/>
    <x v="1"/>
    <x v="10"/>
    <s v="Office Copier"/>
    <n v="580.07000000000005"/>
    <n v="5"/>
    <n v="-145.5728"/>
  </r>
  <r>
    <d v="2015-06-05T00:00:00"/>
    <x v="1"/>
    <x v="5"/>
    <x v="2"/>
    <x v="0"/>
    <x v="0"/>
    <x v="0"/>
    <s v="Desk Lamp"/>
    <n v="734.97"/>
    <n v="4"/>
    <n v="-227.42959999999999"/>
  </r>
  <r>
    <d v="2015-06-05T00:00:00"/>
    <x v="1"/>
    <x v="5"/>
    <x v="2"/>
    <x v="3"/>
    <x v="2"/>
    <x v="11"/>
    <s v="Shipping Labels"/>
    <n v="1036.17"/>
    <n v="1"/>
    <n v="-33.396900000000002"/>
  </r>
  <r>
    <d v="2015-06-06T00:00:00"/>
    <x v="1"/>
    <x v="5"/>
    <x v="1"/>
    <x v="5"/>
    <x v="1"/>
    <x v="1"/>
    <s v="Business Phone"/>
    <n v="949.28"/>
    <n v="5"/>
    <n v="-165.92179999999999"/>
  </r>
  <r>
    <d v="2015-06-06T00:00:00"/>
    <x v="1"/>
    <x v="5"/>
    <x v="7"/>
    <x v="1"/>
    <x v="1"/>
    <x v="1"/>
    <s v="Business Phone"/>
    <n v="662.91"/>
    <n v="3"/>
    <n v="108.52970000000001"/>
  </r>
  <r>
    <d v="2015-06-09T00:00:00"/>
    <x v="1"/>
    <x v="5"/>
    <x v="2"/>
    <x v="6"/>
    <x v="1"/>
    <x v="1"/>
    <s v="IP Phone"/>
    <n v="774.98"/>
    <n v="8"/>
    <n v="264.65519999999998"/>
  </r>
  <r>
    <d v="2015-06-11T00:00:00"/>
    <x v="1"/>
    <x v="5"/>
    <x v="2"/>
    <x v="1"/>
    <x v="0"/>
    <x v="2"/>
    <s v="Metal Bookcase"/>
    <n v="113.77"/>
    <n v="2"/>
    <n v="0.72070000000000001"/>
  </r>
  <r>
    <d v="2015-06-12T00:00:00"/>
    <x v="1"/>
    <x v="5"/>
    <x v="3"/>
    <x v="7"/>
    <x v="1"/>
    <x v="10"/>
    <s v="Laser Copier"/>
    <n v="917.22"/>
    <n v="8"/>
    <n v="297.98750000000001"/>
  </r>
  <r>
    <d v="2015-06-12T00:00:00"/>
    <x v="1"/>
    <x v="5"/>
    <x v="8"/>
    <x v="8"/>
    <x v="1"/>
    <x v="10"/>
    <s v="Laser Copier"/>
    <n v="230.88"/>
    <n v="1"/>
    <n v="7.7323000000000004"/>
  </r>
  <r>
    <d v="2015-06-12T00:00:00"/>
    <x v="1"/>
    <x v="5"/>
    <x v="0"/>
    <x v="1"/>
    <x v="1"/>
    <x v="10"/>
    <s v="Laser Copier"/>
    <n v="198.55"/>
    <n v="2"/>
    <n v="-38.128399999999999"/>
  </r>
  <r>
    <d v="2015-06-13T00:00:00"/>
    <x v="1"/>
    <x v="5"/>
    <x v="3"/>
    <x v="0"/>
    <x v="0"/>
    <x v="9"/>
    <s v="Conference Table"/>
    <n v="1095.8699999999999"/>
    <n v="7"/>
    <n v="-287.6497"/>
  </r>
  <r>
    <d v="2015-06-13T00:00:00"/>
    <x v="1"/>
    <x v="5"/>
    <x v="5"/>
    <x v="1"/>
    <x v="2"/>
    <x v="6"/>
    <s v="Marker Set"/>
    <n v="1146.95"/>
    <n v="5"/>
    <n v="-305.72280000000001"/>
  </r>
  <r>
    <d v="2015-06-13T00:00:00"/>
    <x v="1"/>
    <x v="5"/>
    <x v="9"/>
    <x v="2"/>
    <x v="2"/>
    <x v="4"/>
    <s v="Premium Paper"/>
    <n v="755.46"/>
    <n v="8"/>
    <n v="249.8261"/>
  </r>
  <r>
    <d v="2015-06-15T00:00:00"/>
    <x v="1"/>
    <x v="5"/>
    <x v="4"/>
    <x v="0"/>
    <x v="0"/>
    <x v="0"/>
    <s v="Office Clock"/>
    <n v="903.37"/>
    <n v="5"/>
    <n v="157.51179999999999"/>
  </r>
  <r>
    <d v="2015-06-15T00:00:00"/>
    <x v="1"/>
    <x v="5"/>
    <x v="1"/>
    <x v="2"/>
    <x v="1"/>
    <x v="1"/>
    <s v="Business Phone"/>
    <n v="128.43"/>
    <n v="2"/>
    <n v="-44.589700000000001"/>
  </r>
  <r>
    <d v="2015-06-16T00:00:00"/>
    <x v="1"/>
    <x v="5"/>
    <x v="8"/>
    <x v="9"/>
    <x v="1"/>
    <x v="10"/>
    <s v="Office Copier"/>
    <n v="199.6"/>
    <n v="1"/>
    <n v="-57.963299999999997"/>
  </r>
  <r>
    <d v="2015-06-17T00:00:00"/>
    <x v="1"/>
    <x v="5"/>
    <x v="2"/>
    <x v="5"/>
    <x v="2"/>
    <x v="4"/>
    <s v="Premium Paper"/>
    <n v="183.36"/>
    <n v="6"/>
    <n v="-49.948700000000002"/>
  </r>
  <r>
    <d v="2015-06-19T00:00:00"/>
    <x v="1"/>
    <x v="5"/>
    <x v="9"/>
    <x v="1"/>
    <x v="0"/>
    <x v="9"/>
    <s v="Round Table"/>
    <n v="610.07000000000005"/>
    <n v="6"/>
    <n v="-51.457599999999999"/>
  </r>
  <r>
    <d v="2015-06-20T00:00:00"/>
    <x v="1"/>
    <x v="5"/>
    <x v="0"/>
    <x v="2"/>
    <x v="1"/>
    <x v="10"/>
    <s v="Office Copier"/>
    <n v="786.15"/>
    <n v="4"/>
    <n v="-277.83069999999998"/>
  </r>
  <r>
    <d v="2015-06-20T00:00:00"/>
    <x v="1"/>
    <x v="5"/>
    <x v="8"/>
    <x v="4"/>
    <x v="2"/>
    <x v="4"/>
    <s v="Premium Paper"/>
    <n v="1026.7"/>
    <n v="7"/>
    <n v="24.130199999999999"/>
  </r>
  <r>
    <d v="2015-06-21T00:00:00"/>
    <x v="1"/>
    <x v="5"/>
    <x v="3"/>
    <x v="6"/>
    <x v="0"/>
    <x v="5"/>
    <s v="Ergo Chair"/>
    <n v="262.81"/>
    <n v="1"/>
    <n v="81.867900000000006"/>
  </r>
  <r>
    <d v="2015-06-24T00:00:00"/>
    <x v="1"/>
    <x v="5"/>
    <x v="9"/>
    <x v="6"/>
    <x v="1"/>
    <x v="10"/>
    <s v="Laser Copier"/>
    <n v="696.46"/>
    <n v="10"/>
    <n v="-187.77440000000001"/>
  </r>
  <r>
    <d v="2015-06-25T00:00:00"/>
    <x v="1"/>
    <x v="5"/>
    <x v="4"/>
    <x v="1"/>
    <x v="1"/>
    <x v="10"/>
    <s v="Laser Copier"/>
    <n v="703.24"/>
    <n v="7"/>
    <n v="244.29419999999999"/>
  </r>
  <r>
    <d v="2015-06-26T00:00:00"/>
    <x v="1"/>
    <x v="5"/>
    <x v="3"/>
    <x v="7"/>
    <x v="2"/>
    <x v="4"/>
    <s v="Premium Paper"/>
    <n v="734.04"/>
    <n v="4"/>
    <n v="233.42699999999999"/>
  </r>
  <r>
    <d v="2015-06-27T00:00:00"/>
    <x v="1"/>
    <x v="5"/>
    <x v="9"/>
    <x v="3"/>
    <x v="2"/>
    <x v="6"/>
    <s v="Sketch Pad"/>
    <n v="1023.72"/>
    <n v="2"/>
    <n v="-288.47250000000003"/>
  </r>
  <r>
    <d v="2015-06-27T00:00:00"/>
    <x v="1"/>
    <x v="5"/>
    <x v="5"/>
    <x v="0"/>
    <x v="2"/>
    <x v="7"/>
    <s v="Storage Box"/>
    <n v="443.66"/>
    <n v="10"/>
    <n v="-94.325400000000002"/>
  </r>
  <r>
    <d v="2015-06-30T00:00:00"/>
    <x v="1"/>
    <x v="5"/>
    <x v="6"/>
    <x v="7"/>
    <x v="0"/>
    <x v="9"/>
    <s v="Conference Table"/>
    <n v="933.24"/>
    <n v="6"/>
    <n v="105.9726"/>
  </r>
  <r>
    <d v="2015-07-01T00:00:00"/>
    <x v="1"/>
    <x v="6"/>
    <x v="7"/>
    <x v="4"/>
    <x v="0"/>
    <x v="5"/>
    <s v="Ergo Chair"/>
    <n v="901.47"/>
    <n v="3"/>
    <n v="304.38069999999999"/>
  </r>
  <r>
    <d v="2015-07-02T00:00:00"/>
    <x v="1"/>
    <x v="6"/>
    <x v="7"/>
    <x v="7"/>
    <x v="1"/>
    <x v="10"/>
    <s v="Office Copier"/>
    <n v="39.6"/>
    <n v="5"/>
    <n v="5.0301999999999998"/>
  </r>
  <r>
    <d v="2015-07-03T00:00:00"/>
    <x v="1"/>
    <x v="6"/>
    <x v="5"/>
    <x v="3"/>
    <x v="0"/>
    <x v="2"/>
    <s v="Metal Bookcase"/>
    <n v="84.1"/>
    <n v="10"/>
    <n v="21.636900000000001"/>
  </r>
  <r>
    <d v="2015-07-03T00:00:00"/>
    <x v="1"/>
    <x v="6"/>
    <x v="0"/>
    <x v="3"/>
    <x v="1"/>
    <x v="1"/>
    <s v="IP Phone"/>
    <n v="189.29"/>
    <n v="3"/>
    <n v="29.291"/>
  </r>
  <r>
    <d v="2015-07-04T00:00:00"/>
    <x v="1"/>
    <x v="6"/>
    <x v="8"/>
    <x v="7"/>
    <x v="1"/>
    <x v="1"/>
    <s v="IP Phone"/>
    <n v="455.72"/>
    <n v="10"/>
    <n v="23.784700000000001"/>
  </r>
  <r>
    <d v="2015-07-06T00:00:00"/>
    <x v="1"/>
    <x v="6"/>
    <x v="1"/>
    <x v="4"/>
    <x v="2"/>
    <x v="11"/>
    <s v="Shipping Labels"/>
    <n v="875.92"/>
    <n v="10"/>
    <n v="73.722800000000007"/>
  </r>
  <r>
    <d v="2015-07-06T00:00:00"/>
    <x v="1"/>
    <x v="6"/>
    <x v="1"/>
    <x v="3"/>
    <x v="1"/>
    <x v="1"/>
    <s v="IP Phone"/>
    <n v="783.65"/>
    <n v="9"/>
    <n v="-301.67450000000002"/>
  </r>
  <r>
    <d v="2015-07-06T00:00:00"/>
    <x v="1"/>
    <x v="6"/>
    <x v="6"/>
    <x v="8"/>
    <x v="0"/>
    <x v="2"/>
    <s v="Wood Bookcase"/>
    <n v="568.26"/>
    <n v="10"/>
    <n v="-81.078000000000003"/>
  </r>
  <r>
    <d v="2015-07-06T00:00:00"/>
    <x v="1"/>
    <x v="6"/>
    <x v="3"/>
    <x v="7"/>
    <x v="1"/>
    <x v="8"/>
    <s v="USB Drive"/>
    <n v="77.459999999999994"/>
    <n v="8"/>
    <n v="1.1496"/>
  </r>
  <r>
    <d v="2015-07-07T00:00:00"/>
    <x v="1"/>
    <x v="6"/>
    <x v="2"/>
    <x v="2"/>
    <x v="0"/>
    <x v="9"/>
    <s v="Conference Table"/>
    <n v="965.88"/>
    <n v="9"/>
    <n v="-73.248400000000004"/>
  </r>
  <r>
    <d v="2015-07-07T00:00:00"/>
    <x v="1"/>
    <x v="6"/>
    <x v="9"/>
    <x v="7"/>
    <x v="0"/>
    <x v="2"/>
    <s v="Metal Bookcase"/>
    <n v="839.18"/>
    <n v="10"/>
    <n v="5.7285000000000004"/>
  </r>
  <r>
    <d v="2015-07-10T00:00:00"/>
    <x v="1"/>
    <x v="6"/>
    <x v="3"/>
    <x v="5"/>
    <x v="0"/>
    <x v="0"/>
    <s v="Wall Frame"/>
    <n v="797.26"/>
    <n v="6"/>
    <n v="197.88929999999999"/>
  </r>
  <r>
    <d v="2015-07-13T00:00:00"/>
    <x v="1"/>
    <x v="6"/>
    <x v="3"/>
    <x v="4"/>
    <x v="2"/>
    <x v="7"/>
    <s v="Storage Box"/>
    <n v="436.59"/>
    <n v="6"/>
    <n v="-158.68469999999999"/>
  </r>
  <r>
    <d v="2015-07-14T00:00:00"/>
    <x v="1"/>
    <x v="6"/>
    <x v="1"/>
    <x v="8"/>
    <x v="2"/>
    <x v="3"/>
    <s v="View Binder"/>
    <n v="153.75"/>
    <n v="6"/>
    <n v="-11.114000000000001"/>
  </r>
  <r>
    <d v="2015-07-14T00:00:00"/>
    <x v="1"/>
    <x v="6"/>
    <x v="6"/>
    <x v="2"/>
    <x v="2"/>
    <x v="6"/>
    <s v="Marker Set"/>
    <n v="941.34"/>
    <n v="8"/>
    <n v="-30.1675"/>
  </r>
  <r>
    <d v="2015-07-15T00:00:00"/>
    <x v="1"/>
    <x v="6"/>
    <x v="9"/>
    <x v="1"/>
    <x v="2"/>
    <x v="6"/>
    <s v="Sketch Pad"/>
    <n v="186.59"/>
    <n v="4"/>
    <n v="-59.694099999999999"/>
  </r>
  <r>
    <d v="2015-07-18T00:00:00"/>
    <x v="1"/>
    <x v="6"/>
    <x v="2"/>
    <x v="7"/>
    <x v="2"/>
    <x v="6"/>
    <s v="Sketch Pad"/>
    <n v="1041.8599999999999"/>
    <n v="10"/>
    <n v="297.82139999999998"/>
  </r>
  <r>
    <d v="2015-07-18T00:00:00"/>
    <x v="1"/>
    <x v="6"/>
    <x v="8"/>
    <x v="8"/>
    <x v="2"/>
    <x v="7"/>
    <s v="File Cart"/>
    <n v="1030.1400000000001"/>
    <n v="1"/>
    <n v="160.77590000000001"/>
  </r>
  <r>
    <d v="2015-07-20T00:00:00"/>
    <x v="1"/>
    <x v="6"/>
    <x v="1"/>
    <x v="9"/>
    <x v="2"/>
    <x v="6"/>
    <s v="Sketch Pad"/>
    <n v="669.17"/>
    <n v="9"/>
    <n v="208.14330000000001"/>
  </r>
  <r>
    <d v="2015-07-20T00:00:00"/>
    <x v="1"/>
    <x v="6"/>
    <x v="3"/>
    <x v="4"/>
    <x v="0"/>
    <x v="9"/>
    <s v="Work Table"/>
    <n v="508.22"/>
    <n v="8"/>
    <n v="95.037099999999995"/>
  </r>
  <r>
    <d v="2015-07-21T00:00:00"/>
    <x v="1"/>
    <x v="6"/>
    <x v="4"/>
    <x v="7"/>
    <x v="1"/>
    <x v="10"/>
    <s v="Office Copier"/>
    <n v="1112.29"/>
    <n v="2"/>
    <n v="-345.98790000000002"/>
  </r>
  <r>
    <d v="2015-07-22T00:00:00"/>
    <x v="1"/>
    <x v="6"/>
    <x v="4"/>
    <x v="6"/>
    <x v="0"/>
    <x v="0"/>
    <s v="Desk Lamp"/>
    <n v="1041.1199999999999"/>
    <n v="3"/>
    <n v="131.25389999999999"/>
  </r>
  <r>
    <d v="2015-07-23T00:00:00"/>
    <x v="1"/>
    <x v="6"/>
    <x v="9"/>
    <x v="5"/>
    <x v="0"/>
    <x v="9"/>
    <s v="Round Table"/>
    <n v="1138.81"/>
    <n v="6"/>
    <n v="-154.7045"/>
  </r>
  <r>
    <d v="2015-07-26T00:00:00"/>
    <x v="1"/>
    <x v="6"/>
    <x v="1"/>
    <x v="1"/>
    <x v="2"/>
    <x v="6"/>
    <s v="Marker Set"/>
    <n v="424.62"/>
    <n v="9"/>
    <n v="-42.564399999999999"/>
  </r>
  <r>
    <d v="2015-07-26T00:00:00"/>
    <x v="1"/>
    <x v="6"/>
    <x v="6"/>
    <x v="8"/>
    <x v="2"/>
    <x v="7"/>
    <s v="Storage Box"/>
    <n v="1058.55"/>
    <n v="4"/>
    <n v="172.39250000000001"/>
  </r>
  <r>
    <d v="2015-07-29T00:00:00"/>
    <x v="1"/>
    <x v="6"/>
    <x v="2"/>
    <x v="5"/>
    <x v="1"/>
    <x v="10"/>
    <s v="Office Copier"/>
    <n v="168.12"/>
    <n v="8"/>
    <n v="-9.4258000000000006"/>
  </r>
  <r>
    <d v="2015-07-31T00:00:00"/>
    <x v="1"/>
    <x v="6"/>
    <x v="4"/>
    <x v="6"/>
    <x v="2"/>
    <x v="6"/>
    <s v="Marker Set"/>
    <n v="919.5"/>
    <n v="8"/>
    <n v="-104.7677"/>
  </r>
  <r>
    <d v="2015-08-02T00:00:00"/>
    <x v="1"/>
    <x v="7"/>
    <x v="4"/>
    <x v="5"/>
    <x v="2"/>
    <x v="3"/>
    <s v="View Binder"/>
    <n v="929.37"/>
    <n v="5"/>
    <n v="-143.6103"/>
  </r>
  <r>
    <d v="2015-08-03T00:00:00"/>
    <x v="1"/>
    <x v="7"/>
    <x v="2"/>
    <x v="0"/>
    <x v="2"/>
    <x v="6"/>
    <s v="Sketch Pad"/>
    <n v="1083.8399999999999"/>
    <n v="5"/>
    <n v="64.703800000000001"/>
  </r>
  <r>
    <d v="2015-08-04T00:00:00"/>
    <x v="1"/>
    <x v="7"/>
    <x v="7"/>
    <x v="2"/>
    <x v="1"/>
    <x v="10"/>
    <s v="Office Copier"/>
    <n v="1136.97"/>
    <n v="4"/>
    <n v="-71.739900000000006"/>
  </r>
  <r>
    <d v="2015-08-04T00:00:00"/>
    <x v="1"/>
    <x v="7"/>
    <x v="2"/>
    <x v="2"/>
    <x v="2"/>
    <x v="3"/>
    <s v="View Binder"/>
    <n v="262.62"/>
    <n v="8"/>
    <n v="-104.63720000000001"/>
  </r>
  <r>
    <d v="2015-08-05T00:00:00"/>
    <x v="1"/>
    <x v="7"/>
    <x v="4"/>
    <x v="5"/>
    <x v="2"/>
    <x v="7"/>
    <s v="Storage Box"/>
    <n v="244.83"/>
    <n v="10"/>
    <n v="-48.118600000000001"/>
  </r>
  <r>
    <d v="2015-08-06T00:00:00"/>
    <x v="1"/>
    <x v="7"/>
    <x v="6"/>
    <x v="3"/>
    <x v="1"/>
    <x v="10"/>
    <s v="Office Copier"/>
    <n v="429.36"/>
    <n v="9"/>
    <n v="-14.7613"/>
  </r>
  <r>
    <d v="2015-08-08T00:00:00"/>
    <x v="1"/>
    <x v="7"/>
    <x v="8"/>
    <x v="8"/>
    <x v="2"/>
    <x v="11"/>
    <s v="Address Labels"/>
    <n v="834.31"/>
    <n v="8"/>
    <n v="-208.4659"/>
  </r>
  <r>
    <d v="2015-08-09T00:00:00"/>
    <x v="1"/>
    <x v="7"/>
    <x v="3"/>
    <x v="2"/>
    <x v="1"/>
    <x v="10"/>
    <s v="Laser Copier"/>
    <n v="646.35"/>
    <n v="2"/>
    <n v="-49.642400000000002"/>
  </r>
  <r>
    <d v="2015-08-10T00:00:00"/>
    <x v="1"/>
    <x v="7"/>
    <x v="0"/>
    <x v="3"/>
    <x v="2"/>
    <x v="7"/>
    <s v="Storage Box"/>
    <n v="335.6"/>
    <n v="6"/>
    <n v="60.270499999999998"/>
  </r>
  <r>
    <d v="2015-08-11T00:00:00"/>
    <x v="1"/>
    <x v="7"/>
    <x v="0"/>
    <x v="5"/>
    <x v="0"/>
    <x v="9"/>
    <s v="Work Table"/>
    <n v="565.69000000000005"/>
    <n v="1"/>
    <n v="65.522400000000005"/>
  </r>
  <r>
    <d v="2015-08-11T00:00:00"/>
    <x v="1"/>
    <x v="7"/>
    <x v="7"/>
    <x v="5"/>
    <x v="0"/>
    <x v="0"/>
    <s v="Office Clock"/>
    <n v="608.5"/>
    <n v="2"/>
    <n v="-121.9971"/>
  </r>
  <r>
    <d v="2015-08-12T00:00:00"/>
    <x v="1"/>
    <x v="7"/>
    <x v="5"/>
    <x v="2"/>
    <x v="0"/>
    <x v="9"/>
    <s v="Round Table"/>
    <n v="1196.92"/>
    <n v="2"/>
    <n v="-89.196100000000001"/>
  </r>
  <r>
    <d v="2015-08-12T00:00:00"/>
    <x v="1"/>
    <x v="7"/>
    <x v="6"/>
    <x v="5"/>
    <x v="0"/>
    <x v="5"/>
    <s v="Mesh Office Chair"/>
    <n v="515.33000000000004"/>
    <n v="6"/>
    <n v="-105.774"/>
  </r>
  <r>
    <d v="2015-08-13T00:00:00"/>
    <x v="1"/>
    <x v="7"/>
    <x v="3"/>
    <x v="5"/>
    <x v="0"/>
    <x v="2"/>
    <s v="Wood Bookcase"/>
    <n v="528.54999999999995"/>
    <n v="8"/>
    <n v="-163.2852"/>
  </r>
  <r>
    <d v="2015-08-13T00:00:00"/>
    <x v="1"/>
    <x v="7"/>
    <x v="0"/>
    <x v="0"/>
    <x v="2"/>
    <x v="3"/>
    <s v="View Binder"/>
    <n v="814.75"/>
    <n v="3"/>
    <n v="-280.76580000000001"/>
  </r>
  <r>
    <d v="2015-08-13T00:00:00"/>
    <x v="1"/>
    <x v="7"/>
    <x v="7"/>
    <x v="9"/>
    <x v="0"/>
    <x v="2"/>
    <s v="Wood Bookcase"/>
    <n v="1146.5999999999999"/>
    <n v="2"/>
    <n v="-160.78469999999999"/>
  </r>
  <r>
    <d v="2015-08-14T00:00:00"/>
    <x v="1"/>
    <x v="7"/>
    <x v="8"/>
    <x v="4"/>
    <x v="2"/>
    <x v="11"/>
    <s v="Shipping Labels"/>
    <n v="796.79"/>
    <n v="7"/>
    <n v="167.465"/>
  </r>
  <r>
    <d v="2015-08-14T00:00:00"/>
    <x v="1"/>
    <x v="7"/>
    <x v="3"/>
    <x v="6"/>
    <x v="0"/>
    <x v="0"/>
    <s v="Desk Lamp"/>
    <n v="1150.1199999999999"/>
    <n v="2"/>
    <n v="-365.71089999999998"/>
  </r>
  <r>
    <d v="2015-08-14T00:00:00"/>
    <x v="1"/>
    <x v="7"/>
    <x v="8"/>
    <x v="7"/>
    <x v="0"/>
    <x v="0"/>
    <s v="Office Clock"/>
    <n v="670.77"/>
    <n v="1"/>
    <n v="-226.93090000000001"/>
  </r>
  <r>
    <d v="2015-08-15T00:00:00"/>
    <x v="1"/>
    <x v="7"/>
    <x v="0"/>
    <x v="7"/>
    <x v="2"/>
    <x v="7"/>
    <s v="File Cart"/>
    <n v="847.36"/>
    <n v="8"/>
    <n v="-137.45830000000001"/>
  </r>
  <r>
    <d v="2015-08-16T00:00:00"/>
    <x v="1"/>
    <x v="7"/>
    <x v="4"/>
    <x v="0"/>
    <x v="0"/>
    <x v="5"/>
    <s v="Mesh Office Chair"/>
    <n v="785.41"/>
    <n v="3"/>
    <n v="-313.8442"/>
  </r>
  <r>
    <d v="2015-08-20T00:00:00"/>
    <x v="1"/>
    <x v="7"/>
    <x v="2"/>
    <x v="0"/>
    <x v="2"/>
    <x v="4"/>
    <s v="Premium Paper"/>
    <n v="445.75"/>
    <n v="1"/>
    <n v="-5.2328999999999999"/>
  </r>
  <r>
    <d v="2015-08-21T00:00:00"/>
    <x v="1"/>
    <x v="7"/>
    <x v="8"/>
    <x v="0"/>
    <x v="0"/>
    <x v="9"/>
    <s v="Work Table"/>
    <n v="613.1"/>
    <n v="5"/>
    <n v="-54.187199999999997"/>
  </r>
  <r>
    <d v="2015-08-21T00:00:00"/>
    <x v="1"/>
    <x v="7"/>
    <x v="6"/>
    <x v="2"/>
    <x v="2"/>
    <x v="11"/>
    <s v="Address Labels"/>
    <n v="499.5"/>
    <n v="2"/>
    <n v="71.744600000000005"/>
  </r>
  <r>
    <d v="2015-08-21T00:00:00"/>
    <x v="1"/>
    <x v="7"/>
    <x v="4"/>
    <x v="0"/>
    <x v="0"/>
    <x v="2"/>
    <s v="Wood Bookcase"/>
    <n v="678.75"/>
    <n v="5"/>
    <n v="104.99039999999999"/>
  </r>
  <r>
    <d v="2015-08-21T00:00:00"/>
    <x v="1"/>
    <x v="7"/>
    <x v="6"/>
    <x v="5"/>
    <x v="2"/>
    <x v="7"/>
    <s v="Storage Box"/>
    <n v="316.88"/>
    <n v="6"/>
    <n v="93.331100000000006"/>
  </r>
  <r>
    <d v="2015-08-22T00:00:00"/>
    <x v="1"/>
    <x v="7"/>
    <x v="2"/>
    <x v="6"/>
    <x v="0"/>
    <x v="2"/>
    <s v="Wood Bookcase"/>
    <n v="851.26"/>
    <n v="9"/>
    <n v="-22.308800000000002"/>
  </r>
  <r>
    <d v="2015-08-23T00:00:00"/>
    <x v="1"/>
    <x v="7"/>
    <x v="0"/>
    <x v="2"/>
    <x v="1"/>
    <x v="1"/>
    <s v="Business Phone"/>
    <n v="350.75"/>
    <n v="5"/>
    <n v="110.24"/>
  </r>
  <r>
    <d v="2015-08-23T00:00:00"/>
    <x v="1"/>
    <x v="7"/>
    <x v="3"/>
    <x v="0"/>
    <x v="2"/>
    <x v="3"/>
    <s v="View Binder"/>
    <n v="718.42"/>
    <n v="1"/>
    <n v="8.0169999999999995"/>
  </r>
  <r>
    <d v="2015-08-27T00:00:00"/>
    <x v="1"/>
    <x v="7"/>
    <x v="1"/>
    <x v="2"/>
    <x v="0"/>
    <x v="0"/>
    <s v="Office Clock"/>
    <n v="157.18"/>
    <n v="1"/>
    <n v="48.975900000000003"/>
  </r>
  <r>
    <d v="2015-08-27T00:00:00"/>
    <x v="1"/>
    <x v="7"/>
    <x v="1"/>
    <x v="4"/>
    <x v="2"/>
    <x v="3"/>
    <s v="Ring Binder"/>
    <n v="28.99"/>
    <n v="5"/>
    <n v="9.0954999999999995"/>
  </r>
  <r>
    <d v="2015-08-27T00:00:00"/>
    <x v="1"/>
    <x v="7"/>
    <x v="5"/>
    <x v="0"/>
    <x v="1"/>
    <x v="8"/>
    <s v="Mouse"/>
    <n v="653.57000000000005"/>
    <n v="8"/>
    <n v="-168.4042"/>
  </r>
  <r>
    <d v="2015-08-27T00:00:00"/>
    <x v="1"/>
    <x v="7"/>
    <x v="6"/>
    <x v="4"/>
    <x v="0"/>
    <x v="9"/>
    <s v="Work Table"/>
    <n v="563.01"/>
    <n v="2"/>
    <n v="44.5259"/>
  </r>
  <r>
    <d v="2015-08-29T00:00:00"/>
    <x v="1"/>
    <x v="7"/>
    <x v="2"/>
    <x v="9"/>
    <x v="0"/>
    <x v="0"/>
    <s v="Desk Lamp"/>
    <n v="502.09"/>
    <n v="2"/>
    <n v="-157.12809999999999"/>
  </r>
  <r>
    <d v="2015-08-29T00:00:00"/>
    <x v="1"/>
    <x v="7"/>
    <x v="4"/>
    <x v="4"/>
    <x v="0"/>
    <x v="9"/>
    <s v="Work Table"/>
    <n v="984.21"/>
    <n v="9"/>
    <n v="-122.697"/>
  </r>
  <r>
    <d v="2015-08-30T00:00:00"/>
    <x v="1"/>
    <x v="7"/>
    <x v="4"/>
    <x v="2"/>
    <x v="2"/>
    <x v="3"/>
    <s v="Ring Binder"/>
    <n v="276.83999999999997"/>
    <n v="3"/>
    <n v="-47.976199999999999"/>
  </r>
  <r>
    <d v="2015-09-01T00:00:00"/>
    <x v="1"/>
    <x v="8"/>
    <x v="4"/>
    <x v="3"/>
    <x v="2"/>
    <x v="6"/>
    <s v="Marker Set"/>
    <n v="1195.49"/>
    <n v="7"/>
    <n v="243.2251"/>
  </r>
  <r>
    <d v="2015-09-03T00:00:00"/>
    <x v="1"/>
    <x v="8"/>
    <x v="3"/>
    <x v="5"/>
    <x v="0"/>
    <x v="5"/>
    <s v="Mesh Office Chair"/>
    <n v="1041.27"/>
    <n v="7"/>
    <n v="283.82929999999999"/>
  </r>
  <r>
    <d v="2015-09-04T00:00:00"/>
    <x v="1"/>
    <x v="8"/>
    <x v="5"/>
    <x v="8"/>
    <x v="1"/>
    <x v="1"/>
    <s v="IP Phone"/>
    <n v="1010.79"/>
    <n v="9"/>
    <n v="57.339799999999997"/>
  </r>
  <r>
    <d v="2015-09-07T00:00:00"/>
    <x v="1"/>
    <x v="8"/>
    <x v="4"/>
    <x v="7"/>
    <x v="1"/>
    <x v="8"/>
    <s v="Keyboard"/>
    <n v="304.91000000000003"/>
    <n v="10"/>
    <n v="-111.05370000000001"/>
  </r>
  <r>
    <d v="2015-09-08T00:00:00"/>
    <x v="1"/>
    <x v="8"/>
    <x v="2"/>
    <x v="0"/>
    <x v="1"/>
    <x v="10"/>
    <s v="Office Copier"/>
    <n v="49.66"/>
    <n v="10"/>
    <n v="-5.6532999999999998"/>
  </r>
  <r>
    <d v="2015-09-09T00:00:00"/>
    <x v="1"/>
    <x v="8"/>
    <x v="2"/>
    <x v="3"/>
    <x v="1"/>
    <x v="10"/>
    <s v="Office Copier"/>
    <n v="507.94"/>
    <n v="2"/>
    <n v="49.200200000000002"/>
  </r>
  <r>
    <d v="2015-09-10T00:00:00"/>
    <x v="1"/>
    <x v="8"/>
    <x v="7"/>
    <x v="2"/>
    <x v="0"/>
    <x v="5"/>
    <s v="Ergo Chair"/>
    <n v="1134.6600000000001"/>
    <n v="3"/>
    <n v="196.4331"/>
  </r>
  <r>
    <d v="2015-09-11T00:00:00"/>
    <x v="1"/>
    <x v="8"/>
    <x v="5"/>
    <x v="1"/>
    <x v="0"/>
    <x v="9"/>
    <s v="Round Table"/>
    <n v="194.98"/>
    <n v="5"/>
    <n v="-64.342399999999998"/>
  </r>
  <r>
    <d v="2015-09-11T00:00:00"/>
    <x v="1"/>
    <x v="8"/>
    <x v="3"/>
    <x v="1"/>
    <x v="0"/>
    <x v="2"/>
    <s v="Wood Bookcase"/>
    <n v="608.04"/>
    <n v="5"/>
    <n v="-45.7958"/>
  </r>
  <r>
    <d v="2015-09-12T00:00:00"/>
    <x v="1"/>
    <x v="8"/>
    <x v="6"/>
    <x v="5"/>
    <x v="0"/>
    <x v="2"/>
    <s v="Metal Bookcase"/>
    <n v="1173.1400000000001"/>
    <n v="6"/>
    <n v="-352.90550000000002"/>
  </r>
  <r>
    <d v="2015-09-13T00:00:00"/>
    <x v="1"/>
    <x v="8"/>
    <x v="3"/>
    <x v="1"/>
    <x v="1"/>
    <x v="10"/>
    <s v="Laser Copier"/>
    <n v="744.11"/>
    <n v="10"/>
    <n v="-96.327600000000004"/>
  </r>
  <r>
    <d v="2015-09-14T00:00:00"/>
    <x v="1"/>
    <x v="8"/>
    <x v="6"/>
    <x v="2"/>
    <x v="0"/>
    <x v="9"/>
    <s v="Conference Table"/>
    <n v="572.16"/>
    <n v="9"/>
    <n v="194.5222"/>
  </r>
  <r>
    <d v="2015-09-14T00:00:00"/>
    <x v="1"/>
    <x v="8"/>
    <x v="2"/>
    <x v="6"/>
    <x v="2"/>
    <x v="6"/>
    <s v="Sketch Pad"/>
    <n v="356.31"/>
    <n v="1"/>
    <n v="68.911299999999997"/>
  </r>
  <r>
    <d v="2015-09-16T00:00:00"/>
    <x v="1"/>
    <x v="8"/>
    <x v="5"/>
    <x v="3"/>
    <x v="2"/>
    <x v="11"/>
    <s v="Shipping Labels"/>
    <n v="929.54"/>
    <n v="5"/>
    <n v="-50.185499999999998"/>
  </r>
  <r>
    <d v="2015-09-20T00:00:00"/>
    <x v="1"/>
    <x v="8"/>
    <x v="9"/>
    <x v="6"/>
    <x v="0"/>
    <x v="2"/>
    <s v="Metal Bookcase"/>
    <n v="537.87"/>
    <n v="7"/>
    <n v="-147.92310000000001"/>
  </r>
  <r>
    <d v="2015-09-21T00:00:00"/>
    <x v="1"/>
    <x v="8"/>
    <x v="9"/>
    <x v="7"/>
    <x v="1"/>
    <x v="8"/>
    <s v="Keyboard"/>
    <n v="695.29"/>
    <n v="7"/>
    <n v="105.5706"/>
  </r>
  <r>
    <d v="2015-09-23T00:00:00"/>
    <x v="1"/>
    <x v="8"/>
    <x v="9"/>
    <x v="5"/>
    <x v="2"/>
    <x v="6"/>
    <s v="Sketch Pad"/>
    <n v="1173.1400000000001"/>
    <n v="9"/>
    <n v="-392.18189999999998"/>
  </r>
  <r>
    <d v="2015-09-24T00:00:00"/>
    <x v="1"/>
    <x v="8"/>
    <x v="6"/>
    <x v="5"/>
    <x v="1"/>
    <x v="8"/>
    <s v="Mouse"/>
    <n v="869.32"/>
    <n v="7"/>
    <n v="-181.8244"/>
  </r>
  <r>
    <d v="2015-09-24T00:00:00"/>
    <x v="1"/>
    <x v="8"/>
    <x v="9"/>
    <x v="9"/>
    <x v="0"/>
    <x v="5"/>
    <s v="Ergo Chair"/>
    <n v="536.46"/>
    <n v="5"/>
    <n v="-173.45169999999999"/>
  </r>
  <r>
    <d v="2015-09-25T00:00:00"/>
    <x v="1"/>
    <x v="8"/>
    <x v="7"/>
    <x v="7"/>
    <x v="2"/>
    <x v="3"/>
    <s v="View Binder"/>
    <n v="220.41"/>
    <n v="4"/>
    <n v="-31.673100000000002"/>
  </r>
  <r>
    <d v="2015-09-26T00:00:00"/>
    <x v="1"/>
    <x v="8"/>
    <x v="5"/>
    <x v="3"/>
    <x v="2"/>
    <x v="4"/>
    <s v="Premium Paper"/>
    <n v="768.54"/>
    <n v="6"/>
    <n v="213.16829999999999"/>
  </r>
  <r>
    <d v="2015-09-27T00:00:00"/>
    <x v="1"/>
    <x v="8"/>
    <x v="4"/>
    <x v="2"/>
    <x v="0"/>
    <x v="2"/>
    <s v="Wood Bookcase"/>
    <n v="99.43"/>
    <n v="4"/>
    <n v="32.884999999999998"/>
  </r>
  <r>
    <d v="2015-09-28T00:00:00"/>
    <x v="1"/>
    <x v="8"/>
    <x v="6"/>
    <x v="9"/>
    <x v="0"/>
    <x v="9"/>
    <s v="Round Table"/>
    <n v="273.45"/>
    <n v="4"/>
    <n v="-79.159499999999994"/>
  </r>
  <r>
    <d v="2015-09-28T00:00:00"/>
    <x v="1"/>
    <x v="8"/>
    <x v="6"/>
    <x v="1"/>
    <x v="1"/>
    <x v="1"/>
    <s v="Business Phone"/>
    <n v="896.24"/>
    <n v="4"/>
    <n v="-134.6139"/>
  </r>
  <r>
    <d v="2015-09-28T00:00:00"/>
    <x v="1"/>
    <x v="8"/>
    <x v="0"/>
    <x v="2"/>
    <x v="0"/>
    <x v="2"/>
    <s v="Wood Bookcase"/>
    <n v="556.78"/>
    <n v="1"/>
    <n v="-198.9556"/>
  </r>
  <r>
    <d v="2015-09-28T00:00:00"/>
    <x v="1"/>
    <x v="8"/>
    <x v="2"/>
    <x v="7"/>
    <x v="2"/>
    <x v="11"/>
    <s v="Address Labels"/>
    <n v="839.92"/>
    <n v="4"/>
    <n v="-299.4907"/>
  </r>
  <r>
    <d v="2015-09-28T00:00:00"/>
    <x v="1"/>
    <x v="8"/>
    <x v="2"/>
    <x v="6"/>
    <x v="2"/>
    <x v="11"/>
    <s v="Shipping Labels"/>
    <n v="1084.96"/>
    <n v="10"/>
    <n v="-327.15339999999998"/>
  </r>
  <r>
    <d v="2015-09-30T00:00:00"/>
    <x v="1"/>
    <x v="8"/>
    <x v="0"/>
    <x v="9"/>
    <x v="0"/>
    <x v="5"/>
    <s v="Ergo Chair"/>
    <n v="134.18"/>
    <n v="1"/>
    <n v="39.806600000000003"/>
  </r>
  <r>
    <d v="2015-09-30T00:00:00"/>
    <x v="1"/>
    <x v="8"/>
    <x v="0"/>
    <x v="2"/>
    <x v="2"/>
    <x v="4"/>
    <s v="Premium Paper"/>
    <n v="702.48"/>
    <n v="9"/>
    <n v="127.5856"/>
  </r>
  <r>
    <d v="2015-10-01T00:00:00"/>
    <x v="1"/>
    <x v="9"/>
    <x v="1"/>
    <x v="7"/>
    <x v="1"/>
    <x v="10"/>
    <s v="Office Copier"/>
    <n v="481.8"/>
    <n v="6"/>
    <n v="-34.412500000000001"/>
  </r>
  <r>
    <d v="2015-10-01T00:00:00"/>
    <x v="1"/>
    <x v="9"/>
    <x v="3"/>
    <x v="6"/>
    <x v="2"/>
    <x v="6"/>
    <s v="Sketch Pad"/>
    <n v="826.02"/>
    <n v="8"/>
    <n v="-190.476"/>
  </r>
  <r>
    <d v="2015-10-06T00:00:00"/>
    <x v="1"/>
    <x v="9"/>
    <x v="9"/>
    <x v="2"/>
    <x v="1"/>
    <x v="1"/>
    <s v="Business Phone"/>
    <n v="217.28"/>
    <n v="7"/>
    <n v="70.951499999999996"/>
  </r>
  <r>
    <d v="2015-10-09T00:00:00"/>
    <x v="1"/>
    <x v="9"/>
    <x v="7"/>
    <x v="5"/>
    <x v="2"/>
    <x v="11"/>
    <s v="Shipping Labels"/>
    <n v="1154.31"/>
    <n v="1"/>
    <n v="-377.4325"/>
  </r>
  <r>
    <d v="2015-10-09T00:00:00"/>
    <x v="1"/>
    <x v="9"/>
    <x v="0"/>
    <x v="7"/>
    <x v="2"/>
    <x v="11"/>
    <s v="Address Labels"/>
    <n v="885.56"/>
    <n v="8"/>
    <n v="152.9863"/>
  </r>
  <r>
    <d v="2015-10-11T00:00:00"/>
    <x v="1"/>
    <x v="9"/>
    <x v="7"/>
    <x v="6"/>
    <x v="2"/>
    <x v="4"/>
    <s v="Premium Paper"/>
    <n v="754.03"/>
    <n v="8"/>
    <n v="191.74019999999999"/>
  </r>
  <r>
    <d v="2015-10-11T00:00:00"/>
    <x v="1"/>
    <x v="9"/>
    <x v="6"/>
    <x v="0"/>
    <x v="0"/>
    <x v="9"/>
    <s v="Round Table"/>
    <n v="363.18"/>
    <n v="5"/>
    <n v="104.9141"/>
  </r>
  <r>
    <d v="2015-10-14T00:00:00"/>
    <x v="1"/>
    <x v="9"/>
    <x v="6"/>
    <x v="1"/>
    <x v="1"/>
    <x v="1"/>
    <s v="IP Phone"/>
    <n v="1105.6400000000001"/>
    <n v="10"/>
    <n v="-259.08300000000003"/>
  </r>
  <r>
    <d v="2015-10-15T00:00:00"/>
    <x v="1"/>
    <x v="9"/>
    <x v="8"/>
    <x v="3"/>
    <x v="1"/>
    <x v="8"/>
    <s v="Mouse"/>
    <n v="328.91"/>
    <n v="5"/>
    <n v="10.052199999999999"/>
  </r>
  <r>
    <d v="2015-10-19T00:00:00"/>
    <x v="1"/>
    <x v="9"/>
    <x v="3"/>
    <x v="0"/>
    <x v="0"/>
    <x v="5"/>
    <s v="Mesh Office Chair"/>
    <n v="292.87"/>
    <n v="5"/>
    <n v="-106.0883"/>
  </r>
  <r>
    <d v="2015-10-22T00:00:00"/>
    <x v="1"/>
    <x v="9"/>
    <x v="5"/>
    <x v="7"/>
    <x v="0"/>
    <x v="2"/>
    <s v="Wood Bookcase"/>
    <n v="909.43"/>
    <n v="9"/>
    <n v="-233.78489999999999"/>
  </r>
  <r>
    <d v="2015-10-23T00:00:00"/>
    <x v="1"/>
    <x v="9"/>
    <x v="4"/>
    <x v="4"/>
    <x v="2"/>
    <x v="7"/>
    <s v="Storage Box"/>
    <n v="1122.01"/>
    <n v="4"/>
    <n v="-157.62299999999999"/>
  </r>
  <r>
    <d v="2015-10-23T00:00:00"/>
    <x v="1"/>
    <x v="9"/>
    <x v="7"/>
    <x v="2"/>
    <x v="0"/>
    <x v="2"/>
    <s v="Metal Bookcase"/>
    <n v="168.06"/>
    <n v="3"/>
    <n v="25.0853"/>
  </r>
  <r>
    <d v="2015-10-26T00:00:00"/>
    <x v="1"/>
    <x v="9"/>
    <x v="2"/>
    <x v="9"/>
    <x v="0"/>
    <x v="5"/>
    <s v="Executive Chair"/>
    <n v="588.88"/>
    <n v="2"/>
    <n v="174.7937"/>
  </r>
  <r>
    <d v="2015-10-26T00:00:00"/>
    <x v="1"/>
    <x v="9"/>
    <x v="6"/>
    <x v="3"/>
    <x v="2"/>
    <x v="3"/>
    <s v="View Binder"/>
    <n v="831.6"/>
    <n v="3"/>
    <n v="115.41030000000001"/>
  </r>
  <r>
    <d v="2015-10-30T00:00:00"/>
    <x v="1"/>
    <x v="9"/>
    <x v="8"/>
    <x v="2"/>
    <x v="0"/>
    <x v="9"/>
    <s v="Work Table"/>
    <n v="240.5"/>
    <n v="2"/>
    <n v="-48.878"/>
  </r>
  <r>
    <d v="2015-10-30T00:00:00"/>
    <x v="1"/>
    <x v="9"/>
    <x v="8"/>
    <x v="9"/>
    <x v="0"/>
    <x v="5"/>
    <s v="Executive Chair"/>
    <n v="49.67"/>
    <n v="7"/>
    <n v="1.2932999999999999"/>
  </r>
  <r>
    <d v="2015-11-02T00:00:00"/>
    <x v="1"/>
    <x v="10"/>
    <x v="7"/>
    <x v="6"/>
    <x v="1"/>
    <x v="1"/>
    <s v="Business Phone"/>
    <n v="595.67999999999995"/>
    <n v="1"/>
    <n v="-197.82550000000001"/>
  </r>
  <r>
    <d v="2015-11-03T00:00:00"/>
    <x v="1"/>
    <x v="10"/>
    <x v="3"/>
    <x v="7"/>
    <x v="2"/>
    <x v="7"/>
    <s v="Storage Box"/>
    <n v="1117.99"/>
    <n v="6"/>
    <n v="-310.9393"/>
  </r>
  <r>
    <d v="2015-11-03T00:00:00"/>
    <x v="1"/>
    <x v="10"/>
    <x v="4"/>
    <x v="7"/>
    <x v="0"/>
    <x v="9"/>
    <s v="Conference Table"/>
    <n v="1026.1099999999999"/>
    <n v="8"/>
    <n v="-320.98770000000002"/>
  </r>
  <r>
    <d v="2015-11-03T00:00:00"/>
    <x v="1"/>
    <x v="10"/>
    <x v="6"/>
    <x v="2"/>
    <x v="0"/>
    <x v="2"/>
    <s v="Wood Bookcase"/>
    <n v="300.37"/>
    <n v="5"/>
    <n v="76.485799999999998"/>
  </r>
  <r>
    <d v="2015-11-04T00:00:00"/>
    <x v="1"/>
    <x v="10"/>
    <x v="4"/>
    <x v="3"/>
    <x v="1"/>
    <x v="1"/>
    <s v="IP Phone"/>
    <n v="930.37"/>
    <n v="10"/>
    <n v="-370.1694"/>
  </r>
  <r>
    <d v="2015-11-04T00:00:00"/>
    <x v="1"/>
    <x v="10"/>
    <x v="8"/>
    <x v="8"/>
    <x v="1"/>
    <x v="8"/>
    <s v="Mouse"/>
    <n v="976.76"/>
    <n v="9"/>
    <n v="-322.2432"/>
  </r>
  <r>
    <d v="2015-11-05T00:00:00"/>
    <x v="1"/>
    <x v="10"/>
    <x v="6"/>
    <x v="9"/>
    <x v="1"/>
    <x v="8"/>
    <s v="Keyboard"/>
    <n v="198.92"/>
    <n v="8"/>
    <n v="51.138199999999998"/>
  </r>
  <r>
    <d v="2015-11-07T00:00:00"/>
    <x v="1"/>
    <x v="10"/>
    <x v="9"/>
    <x v="2"/>
    <x v="0"/>
    <x v="2"/>
    <s v="Wood Bookcase"/>
    <n v="117.93"/>
    <n v="7"/>
    <n v="-22.039899999999999"/>
  </r>
  <r>
    <d v="2015-11-07T00:00:00"/>
    <x v="1"/>
    <x v="10"/>
    <x v="6"/>
    <x v="1"/>
    <x v="2"/>
    <x v="7"/>
    <s v="Storage Box"/>
    <n v="279.87"/>
    <n v="10"/>
    <n v="62.976900000000001"/>
  </r>
  <r>
    <d v="2015-11-08T00:00:00"/>
    <x v="1"/>
    <x v="10"/>
    <x v="2"/>
    <x v="1"/>
    <x v="0"/>
    <x v="2"/>
    <s v="Wood Bookcase"/>
    <n v="777.81"/>
    <n v="8"/>
    <n v="183.05760000000001"/>
  </r>
  <r>
    <d v="2015-11-10T00:00:00"/>
    <x v="1"/>
    <x v="10"/>
    <x v="3"/>
    <x v="0"/>
    <x v="1"/>
    <x v="8"/>
    <s v="Mouse"/>
    <n v="508.11"/>
    <n v="5"/>
    <n v="-93.031700000000001"/>
  </r>
  <r>
    <d v="2015-11-11T00:00:00"/>
    <x v="1"/>
    <x v="10"/>
    <x v="6"/>
    <x v="5"/>
    <x v="1"/>
    <x v="10"/>
    <s v="Laser Copier"/>
    <n v="1159.03"/>
    <n v="7"/>
    <n v="-371.51729999999998"/>
  </r>
  <r>
    <d v="2015-11-11T00:00:00"/>
    <x v="1"/>
    <x v="10"/>
    <x v="1"/>
    <x v="1"/>
    <x v="2"/>
    <x v="6"/>
    <s v="Marker Set"/>
    <n v="1054.07"/>
    <n v="8"/>
    <n v="-69.549099999999996"/>
  </r>
  <r>
    <d v="2015-11-14T00:00:00"/>
    <x v="1"/>
    <x v="10"/>
    <x v="4"/>
    <x v="9"/>
    <x v="0"/>
    <x v="5"/>
    <s v="Executive Chair"/>
    <n v="412.93"/>
    <n v="10"/>
    <n v="25.599599999999999"/>
  </r>
  <r>
    <d v="2015-11-16T00:00:00"/>
    <x v="1"/>
    <x v="10"/>
    <x v="9"/>
    <x v="8"/>
    <x v="0"/>
    <x v="0"/>
    <s v="Office Clock"/>
    <n v="742.1"/>
    <n v="8"/>
    <n v="-272.73059999999998"/>
  </r>
  <r>
    <d v="2015-11-18T00:00:00"/>
    <x v="1"/>
    <x v="10"/>
    <x v="5"/>
    <x v="8"/>
    <x v="1"/>
    <x v="10"/>
    <s v="Office Copier"/>
    <n v="345.05"/>
    <n v="9"/>
    <n v="-2.3329"/>
  </r>
  <r>
    <d v="2015-11-18T00:00:00"/>
    <x v="1"/>
    <x v="10"/>
    <x v="2"/>
    <x v="8"/>
    <x v="1"/>
    <x v="1"/>
    <s v="IP Phone"/>
    <n v="969.49"/>
    <n v="5"/>
    <n v="-6.8924000000000003"/>
  </r>
  <r>
    <d v="2015-11-18T00:00:00"/>
    <x v="1"/>
    <x v="10"/>
    <x v="3"/>
    <x v="4"/>
    <x v="1"/>
    <x v="8"/>
    <s v="Mouse"/>
    <n v="557.65"/>
    <n v="7"/>
    <n v="164.97659999999999"/>
  </r>
  <r>
    <d v="2015-11-18T00:00:00"/>
    <x v="1"/>
    <x v="10"/>
    <x v="4"/>
    <x v="9"/>
    <x v="2"/>
    <x v="4"/>
    <s v="Premium Paper"/>
    <n v="328.04"/>
    <n v="2"/>
    <n v="-68.393699999999995"/>
  </r>
  <r>
    <d v="2015-11-21T00:00:00"/>
    <x v="1"/>
    <x v="10"/>
    <x v="6"/>
    <x v="6"/>
    <x v="1"/>
    <x v="10"/>
    <s v="Office Copier"/>
    <n v="331.67"/>
    <n v="10"/>
    <n v="66.628900000000002"/>
  </r>
  <r>
    <d v="2015-11-25T00:00:00"/>
    <x v="1"/>
    <x v="10"/>
    <x v="8"/>
    <x v="4"/>
    <x v="0"/>
    <x v="2"/>
    <s v="Wood Bookcase"/>
    <n v="244.31"/>
    <n v="7"/>
    <n v="-75.23"/>
  </r>
  <r>
    <d v="2015-11-28T00:00:00"/>
    <x v="1"/>
    <x v="10"/>
    <x v="5"/>
    <x v="6"/>
    <x v="1"/>
    <x v="10"/>
    <s v="Laser Copier"/>
    <n v="138.30000000000001"/>
    <n v="7"/>
    <n v="-38.915100000000002"/>
  </r>
  <r>
    <d v="2015-11-28T00:00:00"/>
    <x v="1"/>
    <x v="10"/>
    <x v="4"/>
    <x v="6"/>
    <x v="1"/>
    <x v="1"/>
    <s v="Business Phone"/>
    <n v="1136.68"/>
    <n v="9"/>
    <n v="360.9323"/>
  </r>
  <r>
    <d v="2015-11-29T00:00:00"/>
    <x v="1"/>
    <x v="10"/>
    <x v="5"/>
    <x v="9"/>
    <x v="1"/>
    <x v="1"/>
    <s v="IP Phone"/>
    <n v="861.74"/>
    <n v="6"/>
    <n v="-306.2047"/>
  </r>
  <r>
    <d v="2015-11-29T00:00:00"/>
    <x v="1"/>
    <x v="10"/>
    <x v="8"/>
    <x v="7"/>
    <x v="1"/>
    <x v="8"/>
    <s v="Mouse"/>
    <n v="909.67"/>
    <n v="3"/>
    <n v="-347.88850000000002"/>
  </r>
  <r>
    <d v="2015-12-03T00:00:00"/>
    <x v="1"/>
    <x v="11"/>
    <x v="7"/>
    <x v="5"/>
    <x v="0"/>
    <x v="9"/>
    <s v="Conference Table"/>
    <n v="493.98"/>
    <n v="10"/>
    <n v="133.19370000000001"/>
  </r>
  <r>
    <d v="2015-12-04T00:00:00"/>
    <x v="1"/>
    <x v="11"/>
    <x v="2"/>
    <x v="8"/>
    <x v="2"/>
    <x v="4"/>
    <s v="A4 Paper Pack"/>
    <n v="248.3"/>
    <n v="5"/>
    <n v="-5.2001999999999997"/>
  </r>
  <r>
    <d v="2015-12-06T00:00:00"/>
    <x v="1"/>
    <x v="11"/>
    <x v="9"/>
    <x v="8"/>
    <x v="2"/>
    <x v="6"/>
    <s v="Sketch Pad"/>
    <n v="28.7"/>
    <n v="2"/>
    <n v="-3.9228000000000001"/>
  </r>
  <r>
    <d v="2015-12-06T00:00:00"/>
    <x v="1"/>
    <x v="11"/>
    <x v="2"/>
    <x v="5"/>
    <x v="0"/>
    <x v="5"/>
    <s v="Mesh Office Chair"/>
    <n v="238.51"/>
    <n v="4"/>
    <n v="19.18"/>
  </r>
  <r>
    <d v="2015-12-07T00:00:00"/>
    <x v="1"/>
    <x v="11"/>
    <x v="2"/>
    <x v="1"/>
    <x v="1"/>
    <x v="8"/>
    <s v="USB Drive"/>
    <n v="1130.2"/>
    <n v="7"/>
    <n v="214.00729999999999"/>
  </r>
  <r>
    <d v="2015-12-09T00:00:00"/>
    <x v="1"/>
    <x v="11"/>
    <x v="9"/>
    <x v="2"/>
    <x v="0"/>
    <x v="2"/>
    <s v="Metal Bookcase"/>
    <n v="1170.57"/>
    <n v="3"/>
    <n v="199.58070000000001"/>
  </r>
  <r>
    <d v="2015-12-09T00:00:00"/>
    <x v="1"/>
    <x v="11"/>
    <x v="6"/>
    <x v="2"/>
    <x v="1"/>
    <x v="8"/>
    <s v="Mouse"/>
    <n v="1065.77"/>
    <n v="7"/>
    <n v="193.49080000000001"/>
  </r>
  <r>
    <d v="2015-12-12T00:00:00"/>
    <x v="1"/>
    <x v="11"/>
    <x v="7"/>
    <x v="0"/>
    <x v="0"/>
    <x v="0"/>
    <s v="Wall Frame"/>
    <n v="540.75"/>
    <n v="7"/>
    <n v="-207.86150000000001"/>
  </r>
  <r>
    <d v="2015-12-16T00:00:00"/>
    <x v="1"/>
    <x v="11"/>
    <x v="5"/>
    <x v="2"/>
    <x v="0"/>
    <x v="9"/>
    <s v="Work Table"/>
    <n v="972.42"/>
    <n v="10"/>
    <n v="-369.34949999999998"/>
  </r>
  <r>
    <d v="2015-12-18T00:00:00"/>
    <x v="1"/>
    <x v="11"/>
    <x v="5"/>
    <x v="0"/>
    <x v="0"/>
    <x v="9"/>
    <s v="Work Table"/>
    <n v="369.7"/>
    <n v="4"/>
    <n v="-86.068899999999999"/>
  </r>
  <r>
    <d v="2015-12-18T00:00:00"/>
    <x v="1"/>
    <x v="11"/>
    <x v="6"/>
    <x v="4"/>
    <x v="2"/>
    <x v="3"/>
    <s v="Ring Binder"/>
    <n v="375.73"/>
    <n v="7"/>
    <n v="-113.9537"/>
  </r>
  <r>
    <d v="2015-12-24T00:00:00"/>
    <x v="1"/>
    <x v="11"/>
    <x v="6"/>
    <x v="3"/>
    <x v="1"/>
    <x v="1"/>
    <s v="Business Phone"/>
    <n v="1078.03"/>
    <n v="9"/>
    <n v="118.7666"/>
  </r>
  <r>
    <d v="2015-12-24T00:00:00"/>
    <x v="1"/>
    <x v="11"/>
    <x v="7"/>
    <x v="8"/>
    <x v="2"/>
    <x v="4"/>
    <s v="Premium Paper"/>
    <n v="920.93"/>
    <n v="5"/>
    <n v="-147.0153"/>
  </r>
  <r>
    <d v="2015-12-29T00:00:00"/>
    <x v="1"/>
    <x v="11"/>
    <x v="2"/>
    <x v="9"/>
    <x v="1"/>
    <x v="1"/>
    <s v="IP Phone"/>
    <n v="271.88"/>
    <n v="5"/>
    <n v="-23.013400000000001"/>
  </r>
  <r>
    <d v="2016-01-02T00:00:00"/>
    <x v="2"/>
    <x v="0"/>
    <x v="9"/>
    <x v="1"/>
    <x v="0"/>
    <x v="0"/>
    <s v="Office Clock"/>
    <n v="497.26"/>
    <n v="1"/>
    <n v="47.702199999999998"/>
  </r>
  <r>
    <d v="2016-01-05T00:00:00"/>
    <x v="2"/>
    <x v="0"/>
    <x v="9"/>
    <x v="3"/>
    <x v="1"/>
    <x v="10"/>
    <s v="Laser Copier"/>
    <n v="611.24"/>
    <n v="3"/>
    <n v="140.87799999999999"/>
  </r>
  <r>
    <d v="2016-01-06T00:00:00"/>
    <x v="2"/>
    <x v="0"/>
    <x v="3"/>
    <x v="6"/>
    <x v="0"/>
    <x v="0"/>
    <s v="Wall Frame"/>
    <n v="691.9"/>
    <n v="5"/>
    <n v="-265.375"/>
  </r>
  <r>
    <d v="2016-01-10T00:00:00"/>
    <x v="2"/>
    <x v="0"/>
    <x v="7"/>
    <x v="3"/>
    <x v="2"/>
    <x v="6"/>
    <s v="Marker Set"/>
    <n v="480.08"/>
    <n v="7"/>
    <n v="-58.942999999999998"/>
  </r>
  <r>
    <d v="2016-01-11T00:00:00"/>
    <x v="2"/>
    <x v="0"/>
    <x v="7"/>
    <x v="6"/>
    <x v="1"/>
    <x v="8"/>
    <s v="Mouse"/>
    <n v="694.94"/>
    <n v="2"/>
    <n v="-254.09209999999999"/>
  </r>
  <r>
    <d v="2016-01-11T00:00:00"/>
    <x v="2"/>
    <x v="0"/>
    <x v="6"/>
    <x v="6"/>
    <x v="1"/>
    <x v="8"/>
    <s v="Mouse"/>
    <n v="98.33"/>
    <n v="10"/>
    <n v="-31.056899999999999"/>
  </r>
  <r>
    <d v="2016-01-12T00:00:00"/>
    <x v="2"/>
    <x v="0"/>
    <x v="7"/>
    <x v="5"/>
    <x v="2"/>
    <x v="7"/>
    <s v="File Cart"/>
    <n v="110.32"/>
    <n v="2"/>
    <n v="-23.995999999999999"/>
  </r>
  <r>
    <d v="2016-01-13T00:00:00"/>
    <x v="2"/>
    <x v="0"/>
    <x v="9"/>
    <x v="3"/>
    <x v="2"/>
    <x v="11"/>
    <s v="Address Labels"/>
    <n v="123.73"/>
    <n v="6"/>
    <n v="1.0330999999999999"/>
  </r>
  <r>
    <d v="2016-01-13T00:00:00"/>
    <x v="2"/>
    <x v="0"/>
    <x v="4"/>
    <x v="9"/>
    <x v="2"/>
    <x v="6"/>
    <s v="Sketch Pad"/>
    <n v="119.52"/>
    <n v="10"/>
    <n v="-16.2879"/>
  </r>
  <r>
    <d v="2016-01-14T00:00:00"/>
    <x v="2"/>
    <x v="0"/>
    <x v="8"/>
    <x v="6"/>
    <x v="0"/>
    <x v="0"/>
    <s v="Wall Frame"/>
    <n v="106.94"/>
    <n v="7"/>
    <n v="15.5229"/>
  </r>
  <r>
    <d v="2016-01-15T00:00:00"/>
    <x v="2"/>
    <x v="0"/>
    <x v="4"/>
    <x v="7"/>
    <x v="0"/>
    <x v="0"/>
    <s v="Office Clock"/>
    <n v="991.25"/>
    <n v="4"/>
    <n v="231.19720000000001"/>
  </r>
  <r>
    <d v="2016-01-15T00:00:00"/>
    <x v="2"/>
    <x v="0"/>
    <x v="9"/>
    <x v="7"/>
    <x v="1"/>
    <x v="10"/>
    <s v="Laser Copier"/>
    <n v="860.52"/>
    <n v="2"/>
    <n v="-281.32310000000001"/>
  </r>
  <r>
    <d v="2016-01-16T00:00:00"/>
    <x v="2"/>
    <x v="0"/>
    <x v="5"/>
    <x v="7"/>
    <x v="2"/>
    <x v="7"/>
    <s v="Storage Box"/>
    <n v="932.34"/>
    <n v="4"/>
    <n v="-148.6891"/>
  </r>
  <r>
    <d v="2016-01-19T00:00:00"/>
    <x v="2"/>
    <x v="0"/>
    <x v="6"/>
    <x v="6"/>
    <x v="0"/>
    <x v="0"/>
    <s v="Office Clock"/>
    <n v="421.23"/>
    <n v="6"/>
    <n v="-59.648800000000001"/>
  </r>
  <r>
    <d v="2016-01-19T00:00:00"/>
    <x v="2"/>
    <x v="0"/>
    <x v="8"/>
    <x v="1"/>
    <x v="2"/>
    <x v="11"/>
    <s v="Address Labels"/>
    <n v="442.89"/>
    <n v="9"/>
    <n v="56.9801"/>
  </r>
  <r>
    <d v="2016-01-20T00:00:00"/>
    <x v="2"/>
    <x v="0"/>
    <x v="7"/>
    <x v="4"/>
    <x v="0"/>
    <x v="9"/>
    <s v="Round Table"/>
    <n v="639.37"/>
    <n v="5"/>
    <n v="142.48650000000001"/>
  </r>
  <r>
    <d v="2016-01-21T00:00:00"/>
    <x v="2"/>
    <x v="0"/>
    <x v="3"/>
    <x v="5"/>
    <x v="0"/>
    <x v="5"/>
    <s v="Ergo Chair"/>
    <n v="437.77"/>
    <n v="10"/>
    <n v="-164.47499999999999"/>
  </r>
  <r>
    <d v="2016-01-23T00:00:00"/>
    <x v="2"/>
    <x v="0"/>
    <x v="7"/>
    <x v="0"/>
    <x v="2"/>
    <x v="11"/>
    <s v="Shipping Labels"/>
    <n v="966.38"/>
    <n v="6"/>
    <n v="-188.67160000000001"/>
  </r>
  <r>
    <d v="2016-01-27T00:00:00"/>
    <x v="2"/>
    <x v="0"/>
    <x v="4"/>
    <x v="1"/>
    <x v="0"/>
    <x v="2"/>
    <s v="Metal Bookcase"/>
    <n v="227.97"/>
    <n v="1"/>
    <n v="-46.170299999999997"/>
  </r>
  <r>
    <d v="2016-01-30T00:00:00"/>
    <x v="2"/>
    <x v="0"/>
    <x v="1"/>
    <x v="7"/>
    <x v="0"/>
    <x v="0"/>
    <s v="Office Clock"/>
    <n v="806.23"/>
    <n v="9"/>
    <n v="-69.057599999999994"/>
  </r>
  <r>
    <d v="2016-01-31T00:00:00"/>
    <x v="2"/>
    <x v="0"/>
    <x v="9"/>
    <x v="8"/>
    <x v="1"/>
    <x v="8"/>
    <s v="Mouse"/>
    <n v="134.47"/>
    <n v="4"/>
    <n v="-6.2384000000000004"/>
  </r>
  <r>
    <d v="2016-02-02T00:00:00"/>
    <x v="2"/>
    <x v="1"/>
    <x v="5"/>
    <x v="3"/>
    <x v="0"/>
    <x v="9"/>
    <s v="Work Table"/>
    <n v="825.11"/>
    <n v="2"/>
    <n v="30.3169"/>
  </r>
  <r>
    <d v="2016-02-02T00:00:00"/>
    <x v="2"/>
    <x v="1"/>
    <x v="2"/>
    <x v="0"/>
    <x v="2"/>
    <x v="7"/>
    <s v="File Cart"/>
    <n v="441.27"/>
    <n v="7"/>
    <n v="-83.963899999999995"/>
  </r>
  <r>
    <d v="2016-02-03T00:00:00"/>
    <x v="2"/>
    <x v="1"/>
    <x v="4"/>
    <x v="7"/>
    <x v="1"/>
    <x v="1"/>
    <s v="Business Phone"/>
    <n v="1101.93"/>
    <n v="7"/>
    <n v="-102.9456"/>
  </r>
  <r>
    <d v="2016-02-06T00:00:00"/>
    <x v="2"/>
    <x v="1"/>
    <x v="8"/>
    <x v="8"/>
    <x v="0"/>
    <x v="9"/>
    <s v="Work Table"/>
    <n v="472.41"/>
    <n v="10"/>
    <n v="55.6631"/>
  </r>
  <r>
    <d v="2016-02-09T00:00:00"/>
    <x v="2"/>
    <x v="1"/>
    <x v="7"/>
    <x v="9"/>
    <x v="2"/>
    <x v="11"/>
    <s v="Shipping Labels"/>
    <n v="100.9"/>
    <n v="9"/>
    <n v="-30.295999999999999"/>
  </r>
  <r>
    <d v="2016-02-09T00:00:00"/>
    <x v="2"/>
    <x v="1"/>
    <x v="1"/>
    <x v="0"/>
    <x v="1"/>
    <x v="8"/>
    <s v="Mouse"/>
    <n v="250.35"/>
    <n v="3"/>
    <n v="54.967700000000001"/>
  </r>
  <r>
    <d v="2016-02-10T00:00:00"/>
    <x v="2"/>
    <x v="1"/>
    <x v="5"/>
    <x v="6"/>
    <x v="1"/>
    <x v="10"/>
    <s v="Office Copier"/>
    <n v="506.7"/>
    <n v="6"/>
    <n v="-142.8605"/>
  </r>
  <r>
    <d v="2016-02-10T00:00:00"/>
    <x v="2"/>
    <x v="1"/>
    <x v="9"/>
    <x v="1"/>
    <x v="2"/>
    <x v="7"/>
    <s v="File Cart"/>
    <n v="224.74"/>
    <n v="9"/>
    <n v="-10.082000000000001"/>
  </r>
  <r>
    <d v="2016-02-10T00:00:00"/>
    <x v="2"/>
    <x v="1"/>
    <x v="0"/>
    <x v="0"/>
    <x v="1"/>
    <x v="1"/>
    <s v="Business Phone"/>
    <n v="339.96"/>
    <n v="7"/>
    <n v="-42.915999999999997"/>
  </r>
  <r>
    <d v="2016-02-11T00:00:00"/>
    <x v="2"/>
    <x v="1"/>
    <x v="4"/>
    <x v="7"/>
    <x v="0"/>
    <x v="2"/>
    <s v="Wood Bookcase"/>
    <n v="189.33"/>
    <n v="3"/>
    <n v="42.316899999999997"/>
  </r>
  <r>
    <d v="2016-02-12T00:00:00"/>
    <x v="2"/>
    <x v="1"/>
    <x v="8"/>
    <x v="5"/>
    <x v="0"/>
    <x v="0"/>
    <s v="Office Clock"/>
    <n v="665.48"/>
    <n v="1"/>
    <n v="51.615299999999998"/>
  </r>
  <r>
    <d v="2016-02-13T00:00:00"/>
    <x v="2"/>
    <x v="1"/>
    <x v="9"/>
    <x v="0"/>
    <x v="1"/>
    <x v="1"/>
    <s v="IP Phone"/>
    <n v="433.01"/>
    <n v="3"/>
    <n v="-91.788499999999999"/>
  </r>
  <r>
    <d v="2016-02-13T00:00:00"/>
    <x v="2"/>
    <x v="1"/>
    <x v="1"/>
    <x v="9"/>
    <x v="2"/>
    <x v="6"/>
    <s v="Marker Set"/>
    <n v="626"/>
    <n v="4"/>
    <n v="-200.99600000000001"/>
  </r>
  <r>
    <d v="2016-02-18T00:00:00"/>
    <x v="2"/>
    <x v="1"/>
    <x v="1"/>
    <x v="8"/>
    <x v="0"/>
    <x v="9"/>
    <s v="Conference Table"/>
    <n v="337.18"/>
    <n v="6"/>
    <n v="-93.739199999999997"/>
  </r>
  <r>
    <d v="2016-02-18T00:00:00"/>
    <x v="2"/>
    <x v="1"/>
    <x v="3"/>
    <x v="8"/>
    <x v="1"/>
    <x v="8"/>
    <s v="Mouse"/>
    <n v="1199.0899999999999"/>
    <n v="4"/>
    <n v="46.607900000000001"/>
  </r>
  <r>
    <d v="2016-02-19T00:00:00"/>
    <x v="2"/>
    <x v="1"/>
    <x v="7"/>
    <x v="3"/>
    <x v="1"/>
    <x v="8"/>
    <s v="Keyboard"/>
    <n v="562.16999999999996"/>
    <n v="6"/>
    <n v="-94.828699999999998"/>
  </r>
  <r>
    <d v="2016-02-19T00:00:00"/>
    <x v="2"/>
    <x v="1"/>
    <x v="4"/>
    <x v="3"/>
    <x v="1"/>
    <x v="10"/>
    <s v="Office Copier"/>
    <n v="207.55"/>
    <n v="5"/>
    <n v="-36.145200000000003"/>
  </r>
  <r>
    <d v="2016-02-19T00:00:00"/>
    <x v="2"/>
    <x v="1"/>
    <x v="5"/>
    <x v="8"/>
    <x v="1"/>
    <x v="8"/>
    <s v="USB Drive"/>
    <n v="612.71"/>
    <n v="2"/>
    <n v="170.27459999999999"/>
  </r>
  <r>
    <d v="2016-02-19T00:00:00"/>
    <x v="2"/>
    <x v="1"/>
    <x v="4"/>
    <x v="2"/>
    <x v="0"/>
    <x v="0"/>
    <s v="Wall Frame"/>
    <n v="57.47"/>
    <n v="3"/>
    <n v="16.3324"/>
  </r>
  <r>
    <d v="2016-02-20T00:00:00"/>
    <x v="2"/>
    <x v="1"/>
    <x v="1"/>
    <x v="1"/>
    <x v="0"/>
    <x v="2"/>
    <s v="Metal Bookcase"/>
    <n v="466.36"/>
    <n v="3"/>
    <n v="-13.292899999999999"/>
  </r>
  <r>
    <d v="2016-02-20T00:00:00"/>
    <x v="2"/>
    <x v="1"/>
    <x v="2"/>
    <x v="6"/>
    <x v="0"/>
    <x v="2"/>
    <s v="Metal Bookcase"/>
    <n v="1193.58"/>
    <n v="9"/>
    <n v="-213.44399999999999"/>
  </r>
  <r>
    <d v="2016-02-21T00:00:00"/>
    <x v="2"/>
    <x v="1"/>
    <x v="0"/>
    <x v="9"/>
    <x v="0"/>
    <x v="5"/>
    <s v="Executive Chair"/>
    <n v="115.6"/>
    <n v="5"/>
    <n v="-30.8065"/>
  </r>
  <r>
    <d v="2016-02-23T00:00:00"/>
    <x v="2"/>
    <x v="1"/>
    <x v="4"/>
    <x v="3"/>
    <x v="1"/>
    <x v="10"/>
    <s v="Office Copier"/>
    <n v="939.39"/>
    <n v="6"/>
    <n v="-37.797899999999998"/>
  </r>
  <r>
    <d v="2016-02-24T00:00:00"/>
    <x v="2"/>
    <x v="1"/>
    <x v="7"/>
    <x v="4"/>
    <x v="2"/>
    <x v="3"/>
    <s v="Ring Binder"/>
    <n v="111.75"/>
    <n v="2"/>
    <n v="-36.050400000000003"/>
  </r>
  <r>
    <d v="2016-02-24T00:00:00"/>
    <x v="2"/>
    <x v="1"/>
    <x v="4"/>
    <x v="0"/>
    <x v="0"/>
    <x v="5"/>
    <s v="Mesh Office Chair"/>
    <n v="169"/>
    <n v="4"/>
    <n v="13.856199999999999"/>
  </r>
  <r>
    <d v="2016-02-25T00:00:00"/>
    <x v="2"/>
    <x v="1"/>
    <x v="3"/>
    <x v="9"/>
    <x v="0"/>
    <x v="5"/>
    <s v="Mesh Office Chair"/>
    <n v="286.45"/>
    <n v="5"/>
    <n v="90.382499999999993"/>
  </r>
  <r>
    <d v="2016-02-26T00:00:00"/>
    <x v="2"/>
    <x v="1"/>
    <x v="8"/>
    <x v="6"/>
    <x v="0"/>
    <x v="5"/>
    <s v="Executive Chair"/>
    <n v="425.09"/>
    <n v="7"/>
    <n v="-69.7667"/>
  </r>
  <r>
    <d v="2016-02-29T00:00:00"/>
    <x v="2"/>
    <x v="1"/>
    <x v="4"/>
    <x v="6"/>
    <x v="0"/>
    <x v="9"/>
    <s v="Round Table"/>
    <n v="231.41"/>
    <n v="9"/>
    <n v="21.441800000000001"/>
  </r>
  <r>
    <d v="2016-03-03T00:00:00"/>
    <x v="2"/>
    <x v="2"/>
    <x v="3"/>
    <x v="6"/>
    <x v="2"/>
    <x v="11"/>
    <s v="Shipping Labels"/>
    <n v="216.74"/>
    <n v="1"/>
    <n v="-66.415000000000006"/>
  </r>
  <r>
    <d v="2016-03-06T00:00:00"/>
    <x v="2"/>
    <x v="2"/>
    <x v="3"/>
    <x v="7"/>
    <x v="1"/>
    <x v="8"/>
    <s v="Mouse"/>
    <n v="735.51"/>
    <n v="10"/>
    <n v="-231.18989999999999"/>
  </r>
  <r>
    <d v="2016-03-06T00:00:00"/>
    <x v="2"/>
    <x v="2"/>
    <x v="3"/>
    <x v="9"/>
    <x v="1"/>
    <x v="10"/>
    <s v="Laser Copier"/>
    <n v="328.17"/>
    <n v="1"/>
    <n v="-52.783499999999997"/>
  </r>
  <r>
    <d v="2016-03-06T00:00:00"/>
    <x v="2"/>
    <x v="2"/>
    <x v="3"/>
    <x v="3"/>
    <x v="0"/>
    <x v="5"/>
    <s v="Executive Chair"/>
    <n v="791.22"/>
    <n v="9"/>
    <n v="53.785400000000003"/>
  </r>
  <r>
    <d v="2016-03-06T00:00:00"/>
    <x v="2"/>
    <x v="2"/>
    <x v="7"/>
    <x v="6"/>
    <x v="0"/>
    <x v="9"/>
    <s v="Conference Table"/>
    <n v="936.49"/>
    <n v="5"/>
    <n v="79.953800000000001"/>
  </r>
  <r>
    <d v="2016-03-07T00:00:00"/>
    <x v="2"/>
    <x v="2"/>
    <x v="6"/>
    <x v="3"/>
    <x v="2"/>
    <x v="4"/>
    <s v="Premium Paper"/>
    <n v="10.32"/>
    <n v="4"/>
    <n v="-2.5352000000000001"/>
  </r>
  <r>
    <d v="2016-03-07T00:00:00"/>
    <x v="2"/>
    <x v="2"/>
    <x v="8"/>
    <x v="7"/>
    <x v="1"/>
    <x v="1"/>
    <s v="Business Phone"/>
    <n v="819.32"/>
    <n v="5"/>
    <n v="247.5669"/>
  </r>
  <r>
    <d v="2016-03-07T00:00:00"/>
    <x v="2"/>
    <x v="2"/>
    <x v="2"/>
    <x v="0"/>
    <x v="2"/>
    <x v="7"/>
    <s v="File Cart"/>
    <n v="587.51"/>
    <n v="2"/>
    <n v="15.652100000000001"/>
  </r>
  <r>
    <d v="2016-03-09T00:00:00"/>
    <x v="2"/>
    <x v="2"/>
    <x v="3"/>
    <x v="7"/>
    <x v="0"/>
    <x v="0"/>
    <s v="Wall Frame"/>
    <n v="572.13"/>
    <n v="3"/>
    <n v="-1.2405999999999999"/>
  </r>
  <r>
    <d v="2016-03-10T00:00:00"/>
    <x v="2"/>
    <x v="2"/>
    <x v="8"/>
    <x v="7"/>
    <x v="2"/>
    <x v="3"/>
    <s v="Ring Binder"/>
    <n v="1048.6300000000001"/>
    <n v="1"/>
    <n v="80.485600000000005"/>
  </r>
  <r>
    <d v="2016-03-11T00:00:00"/>
    <x v="2"/>
    <x v="2"/>
    <x v="5"/>
    <x v="0"/>
    <x v="0"/>
    <x v="9"/>
    <s v="Conference Table"/>
    <n v="957.14"/>
    <n v="9"/>
    <n v="-171.10419999999999"/>
  </r>
  <r>
    <d v="2016-03-13T00:00:00"/>
    <x v="2"/>
    <x v="2"/>
    <x v="5"/>
    <x v="8"/>
    <x v="0"/>
    <x v="9"/>
    <s v="Round Table"/>
    <n v="358.17"/>
    <n v="1"/>
    <n v="67.282700000000006"/>
  </r>
  <r>
    <d v="2016-03-14T00:00:00"/>
    <x v="2"/>
    <x v="2"/>
    <x v="4"/>
    <x v="0"/>
    <x v="1"/>
    <x v="1"/>
    <s v="Business Phone"/>
    <n v="271.85000000000002"/>
    <n v="10"/>
    <n v="40.755800000000001"/>
  </r>
  <r>
    <d v="2016-03-15T00:00:00"/>
    <x v="2"/>
    <x v="2"/>
    <x v="2"/>
    <x v="3"/>
    <x v="0"/>
    <x v="2"/>
    <s v="Wood Bookcase"/>
    <n v="589.9"/>
    <n v="10"/>
    <n v="43.830399999999997"/>
  </r>
  <r>
    <d v="2016-03-15T00:00:00"/>
    <x v="2"/>
    <x v="2"/>
    <x v="0"/>
    <x v="8"/>
    <x v="0"/>
    <x v="5"/>
    <s v="Ergo Chair"/>
    <n v="688.26"/>
    <n v="8"/>
    <n v="-196.02160000000001"/>
  </r>
  <r>
    <d v="2016-03-15T00:00:00"/>
    <x v="2"/>
    <x v="2"/>
    <x v="2"/>
    <x v="1"/>
    <x v="1"/>
    <x v="10"/>
    <s v="Laser Copier"/>
    <n v="648.07000000000005"/>
    <n v="2"/>
    <n v="2.5838999999999999"/>
  </r>
  <r>
    <d v="2016-03-17T00:00:00"/>
    <x v="2"/>
    <x v="2"/>
    <x v="6"/>
    <x v="2"/>
    <x v="0"/>
    <x v="9"/>
    <s v="Conference Table"/>
    <n v="450.97"/>
    <n v="6"/>
    <n v="8.2860999999999994"/>
  </r>
  <r>
    <d v="2016-03-18T00:00:00"/>
    <x v="2"/>
    <x v="2"/>
    <x v="0"/>
    <x v="5"/>
    <x v="0"/>
    <x v="0"/>
    <s v="Wall Frame"/>
    <n v="752.13"/>
    <n v="7"/>
    <n v="-71.81"/>
  </r>
  <r>
    <d v="2016-03-18T00:00:00"/>
    <x v="2"/>
    <x v="2"/>
    <x v="8"/>
    <x v="9"/>
    <x v="0"/>
    <x v="2"/>
    <s v="Wood Bookcase"/>
    <n v="451.4"/>
    <n v="2"/>
    <n v="102.79859999999999"/>
  </r>
  <r>
    <d v="2016-03-19T00:00:00"/>
    <x v="2"/>
    <x v="2"/>
    <x v="1"/>
    <x v="1"/>
    <x v="1"/>
    <x v="8"/>
    <s v="USB Drive"/>
    <n v="21.63"/>
    <n v="9"/>
    <n v="-6.6471"/>
  </r>
  <r>
    <d v="2016-03-19T00:00:00"/>
    <x v="2"/>
    <x v="2"/>
    <x v="8"/>
    <x v="1"/>
    <x v="1"/>
    <x v="1"/>
    <s v="IP Phone"/>
    <n v="144.43"/>
    <n v="3"/>
    <n v="13.266"/>
  </r>
  <r>
    <d v="2016-03-20T00:00:00"/>
    <x v="2"/>
    <x v="2"/>
    <x v="9"/>
    <x v="8"/>
    <x v="1"/>
    <x v="8"/>
    <s v="Mouse"/>
    <n v="329.14"/>
    <n v="8"/>
    <n v="61.131300000000003"/>
  </r>
  <r>
    <d v="2016-03-22T00:00:00"/>
    <x v="2"/>
    <x v="2"/>
    <x v="6"/>
    <x v="3"/>
    <x v="0"/>
    <x v="9"/>
    <s v="Round Table"/>
    <n v="137.58000000000001"/>
    <n v="5"/>
    <n v="3.6907999999999999"/>
  </r>
  <r>
    <d v="2016-03-23T00:00:00"/>
    <x v="2"/>
    <x v="2"/>
    <x v="0"/>
    <x v="4"/>
    <x v="2"/>
    <x v="4"/>
    <s v="A4 Paper Pack"/>
    <n v="439.82"/>
    <n v="1"/>
    <n v="42.666400000000003"/>
  </r>
  <r>
    <d v="2016-03-24T00:00:00"/>
    <x v="2"/>
    <x v="2"/>
    <x v="4"/>
    <x v="8"/>
    <x v="2"/>
    <x v="11"/>
    <s v="Shipping Labels"/>
    <n v="5.23"/>
    <n v="1"/>
    <n v="1.7636000000000001"/>
  </r>
  <r>
    <d v="2016-03-25T00:00:00"/>
    <x v="2"/>
    <x v="2"/>
    <x v="0"/>
    <x v="6"/>
    <x v="2"/>
    <x v="3"/>
    <s v="View Binder"/>
    <n v="567.78"/>
    <n v="5"/>
    <n v="-188.30269999999999"/>
  </r>
  <r>
    <d v="2016-03-29T00:00:00"/>
    <x v="2"/>
    <x v="2"/>
    <x v="6"/>
    <x v="7"/>
    <x v="2"/>
    <x v="3"/>
    <s v="View Binder"/>
    <n v="585.89"/>
    <n v="10"/>
    <n v="84.052199999999999"/>
  </r>
  <r>
    <d v="2016-03-30T00:00:00"/>
    <x v="2"/>
    <x v="2"/>
    <x v="7"/>
    <x v="0"/>
    <x v="2"/>
    <x v="4"/>
    <s v="Premium Paper"/>
    <n v="430.54"/>
    <n v="10"/>
    <n v="134.58860000000001"/>
  </r>
  <r>
    <d v="2016-03-31T00:00:00"/>
    <x v="2"/>
    <x v="2"/>
    <x v="0"/>
    <x v="9"/>
    <x v="2"/>
    <x v="6"/>
    <s v="Marker Set"/>
    <n v="66.13"/>
    <n v="9"/>
    <n v="-16.797599999999999"/>
  </r>
  <r>
    <d v="2016-03-31T00:00:00"/>
    <x v="2"/>
    <x v="2"/>
    <x v="7"/>
    <x v="1"/>
    <x v="1"/>
    <x v="8"/>
    <s v="USB Drive"/>
    <n v="804.76"/>
    <n v="3"/>
    <n v="270.61169999999998"/>
  </r>
  <r>
    <d v="2016-04-03T00:00:00"/>
    <x v="2"/>
    <x v="3"/>
    <x v="1"/>
    <x v="6"/>
    <x v="0"/>
    <x v="0"/>
    <s v="Office Clock"/>
    <n v="392.46"/>
    <n v="10"/>
    <n v="3.6945000000000001"/>
  </r>
  <r>
    <d v="2016-04-05T00:00:00"/>
    <x v="2"/>
    <x v="3"/>
    <x v="7"/>
    <x v="1"/>
    <x v="2"/>
    <x v="3"/>
    <s v="Ring Binder"/>
    <n v="621.16"/>
    <n v="5"/>
    <n v="75.177599999999998"/>
  </r>
  <r>
    <d v="2016-04-06T00:00:00"/>
    <x v="2"/>
    <x v="3"/>
    <x v="2"/>
    <x v="6"/>
    <x v="1"/>
    <x v="1"/>
    <s v="IP Phone"/>
    <n v="148.26"/>
    <n v="10"/>
    <n v="-31.926100000000002"/>
  </r>
  <r>
    <d v="2016-04-07T00:00:00"/>
    <x v="2"/>
    <x v="3"/>
    <x v="0"/>
    <x v="3"/>
    <x v="1"/>
    <x v="1"/>
    <s v="Business Phone"/>
    <n v="692.01"/>
    <n v="5"/>
    <n v="-185.95959999999999"/>
  </r>
  <r>
    <d v="2016-04-07T00:00:00"/>
    <x v="2"/>
    <x v="3"/>
    <x v="5"/>
    <x v="8"/>
    <x v="1"/>
    <x v="10"/>
    <s v="Office Copier"/>
    <n v="538.20000000000005"/>
    <n v="4"/>
    <n v="142.99160000000001"/>
  </r>
  <r>
    <d v="2016-04-08T00:00:00"/>
    <x v="2"/>
    <x v="3"/>
    <x v="1"/>
    <x v="8"/>
    <x v="2"/>
    <x v="11"/>
    <s v="Shipping Labels"/>
    <n v="522.46"/>
    <n v="1"/>
    <n v="-56.3596"/>
  </r>
  <r>
    <d v="2016-04-09T00:00:00"/>
    <x v="2"/>
    <x v="3"/>
    <x v="3"/>
    <x v="9"/>
    <x v="2"/>
    <x v="7"/>
    <s v="File Cart"/>
    <n v="932.58"/>
    <n v="10"/>
    <n v="141.28479999999999"/>
  </r>
  <r>
    <d v="2016-04-11T00:00:00"/>
    <x v="2"/>
    <x v="3"/>
    <x v="0"/>
    <x v="4"/>
    <x v="2"/>
    <x v="4"/>
    <s v="A4 Paper Pack"/>
    <n v="289.99"/>
    <n v="3"/>
    <n v="-74.255700000000004"/>
  </r>
  <r>
    <d v="2016-04-14T00:00:00"/>
    <x v="2"/>
    <x v="3"/>
    <x v="9"/>
    <x v="1"/>
    <x v="2"/>
    <x v="7"/>
    <s v="Storage Box"/>
    <n v="139.85"/>
    <n v="6"/>
    <n v="-42.974299999999999"/>
  </r>
  <r>
    <d v="2016-04-15T00:00:00"/>
    <x v="2"/>
    <x v="3"/>
    <x v="2"/>
    <x v="1"/>
    <x v="1"/>
    <x v="1"/>
    <s v="Business Phone"/>
    <n v="1127.17"/>
    <n v="5"/>
    <n v="-423.21039999999999"/>
  </r>
  <r>
    <d v="2016-04-16T00:00:00"/>
    <x v="2"/>
    <x v="3"/>
    <x v="8"/>
    <x v="8"/>
    <x v="1"/>
    <x v="8"/>
    <s v="Mouse"/>
    <n v="394.79"/>
    <n v="5"/>
    <n v="6.2413999999999996"/>
  </r>
  <r>
    <d v="2016-04-17T00:00:00"/>
    <x v="2"/>
    <x v="3"/>
    <x v="5"/>
    <x v="6"/>
    <x v="2"/>
    <x v="3"/>
    <s v="View Binder"/>
    <n v="220.08"/>
    <n v="3"/>
    <n v="38.375500000000002"/>
  </r>
  <r>
    <d v="2016-04-18T00:00:00"/>
    <x v="2"/>
    <x v="3"/>
    <x v="8"/>
    <x v="2"/>
    <x v="2"/>
    <x v="3"/>
    <s v="Ring Binder"/>
    <n v="768.37"/>
    <n v="5"/>
    <n v="-68.472899999999996"/>
  </r>
  <r>
    <d v="2016-04-18T00:00:00"/>
    <x v="2"/>
    <x v="3"/>
    <x v="3"/>
    <x v="4"/>
    <x v="1"/>
    <x v="8"/>
    <s v="USB Drive"/>
    <n v="467.75"/>
    <n v="7"/>
    <n v="-68.175299999999993"/>
  </r>
  <r>
    <d v="2016-04-21T00:00:00"/>
    <x v="2"/>
    <x v="3"/>
    <x v="6"/>
    <x v="4"/>
    <x v="1"/>
    <x v="8"/>
    <s v="USB Drive"/>
    <n v="440.34"/>
    <n v="4"/>
    <n v="144.07550000000001"/>
  </r>
  <r>
    <d v="2016-04-23T00:00:00"/>
    <x v="2"/>
    <x v="3"/>
    <x v="9"/>
    <x v="1"/>
    <x v="0"/>
    <x v="9"/>
    <s v="Round Table"/>
    <n v="681.28"/>
    <n v="3"/>
    <n v="-185.65719999999999"/>
  </r>
  <r>
    <d v="2016-04-23T00:00:00"/>
    <x v="2"/>
    <x v="3"/>
    <x v="2"/>
    <x v="0"/>
    <x v="2"/>
    <x v="7"/>
    <s v="Storage Box"/>
    <n v="741.21"/>
    <n v="8"/>
    <n v="181.57560000000001"/>
  </r>
  <r>
    <d v="2016-04-24T00:00:00"/>
    <x v="2"/>
    <x v="3"/>
    <x v="8"/>
    <x v="9"/>
    <x v="0"/>
    <x v="5"/>
    <s v="Ergo Chair"/>
    <n v="1044.51"/>
    <n v="7"/>
    <n v="280.47590000000002"/>
  </r>
  <r>
    <d v="2016-04-25T00:00:00"/>
    <x v="2"/>
    <x v="3"/>
    <x v="9"/>
    <x v="8"/>
    <x v="2"/>
    <x v="7"/>
    <s v="Storage Box"/>
    <n v="725.02"/>
    <n v="9"/>
    <n v="-127.4695"/>
  </r>
  <r>
    <d v="2016-04-25T00:00:00"/>
    <x v="2"/>
    <x v="3"/>
    <x v="0"/>
    <x v="8"/>
    <x v="1"/>
    <x v="10"/>
    <s v="Laser Copier"/>
    <n v="229.66"/>
    <n v="2"/>
    <n v="-60.445300000000003"/>
  </r>
  <r>
    <d v="2016-04-26T00:00:00"/>
    <x v="2"/>
    <x v="3"/>
    <x v="6"/>
    <x v="8"/>
    <x v="1"/>
    <x v="8"/>
    <s v="USB Drive"/>
    <n v="664.77"/>
    <n v="9"/>
    <n v="-25.360399999999998"/>
  </r>
  <r>
    <d v="2016-04-26T00:00:00"/>
    <x v="2"/>
    <x v="3"/>
    <x v="4"/>
    <x v="6"/>
    <x v="0"/>
    <x v="9"/>
    <s v="Work Table"/>
    <n v="391.54"/>
    <n v="1"/>
    <n v="-104.0874"/>
  </r>
  <r>
    <d v="2016-04-26T00:00:00"/>
    <x v="2"/>
    <x v="3"/>
    <x v="8"/>
    <x v="8"/>
    <x v="1"/>
    <x v="8"/>
    <s v="Keyboard"/>
    <n v="290.10000000000002"/>
    <n v="4"/>
    <n v="3.18"/>
  </r>
  <r>
    <d v="2016-04-28T00:00:00"/>
    <x v="2"/>
    <x v="3"/>
    <x v="6"/>
    <x v="9"/>
    <x v="2"/>
    <x v="7"/>
    <s v="Storage Box"/>
    <n v="444.28"/>
    <n v="7"/>
    <n v="114.3099"/>
  </r>
  <r>
    <d v="2016-05-01T00:00:00"/>
    <x v="2"/>
    <x v="4"/>
    <x v="8"/>
    <x v="1"/>
    <x v="2"/>
    <x v="6"/>
    <s v="Sketch Pad"/>
    <n v="79.41"/>
    <n v="7"/>
    <n v="-8.5677000000000003"/>
  </r>
  <r>
    <d v="2016-05-01T00:00:00"/>
    <x v="2"/>
    <x v="4"/>
    <x v="1"/>
    <x v="1"/>
    <x v="2"/>
    <x v="11"/>
    <s v="Shipping Labels"/>
    <n v="876.89"/>
    <n v="6"/>
    <n v="-70.087199999999996"/>
  </r>
  <r>
    <d v="2016-05-01T00:00:00"/>
    <x v="2"/>
    <x v="4"/>
    <x v="3"/>
    <x v="1"/>
    <x v="0"/>
    <x v="5"/>
    <s v="Ergo Chair"/>
    <n v="1032.8800000000001"/>
    <n v="10"/>
    <n v="307.52269999999999"/>
  </r>
  <r>
    <d v="2016-05-02T00:00:00"/>
    <x v="2"/>
    <x v="4"/>
    <x v="6"/>
    <x v="3"/>
    <x v="1"/>
    <x v="1"/>
    <s v="IP Phone"/>
    <n v="1104.8900000000001"/>
    <n v="4"/>
    <n v="194.67060000000001"/>
  </r>
  <r>
    <d v="2016-05-03T00:00:00"/>
    <x v="2"/>
    <x v="4"/>
    <x v="0"/>
    <x v="9"/>
    <x v="0"/>
    <x v="5"/>
    <s v="Ergo Chair"/>
    <n v="1192.51"/>
    <n v="3"/>
    <n v="124.102"/>
  </r>
  <r>
    <d v="2016-05-04T00:00:00"/>
    <x v="2"/>
    <x v="4"/>
    <x v="8"/>
    <x v="1"/>
    <x v="1"/>
    <x v="10"/>
    <s v="Office Copier"/>
    <n v="292.23"/>
    <n v="3"/>
    <n v="-23.422599999999999"/>
  </r>
  <r>
    <d v="2016-05-07T00:00:00"/>
    <x v="2"/>
    <x v="4"/>
    <x v="0"/>
    <x v="2"/>
    <x v="1"/>
    <x v="10"/>
    <s v="Office Copier"/>
    <n v="997.63"/>
    <n v="2"/>
    <n v="-16.2728"/>
  </r>
  <r>
    <d v="2016-05-07T00:00:00"/>
    <x v="2"/>
    <x v="4"/>
    <x v="6"/>
    <x v="2"/>
    <x v="2"/>
    <x v="4"/>
    <s v="Premium Paper"/>
    <n v="1175.5"/>
    <n v="4"/>
    <n v="-228.99100000000001"/>
  </r>
  <r>
    <d v="2016-05-09T00:00:00"/>
    <x v="2"/>
    <x v="4"/>
    <x v="8"/>
    <x v="5"/>
    <x v="0"/>
    <x v="0"/>
    <s v="Office Clock"/>
    <n v="1163.08"/>
    <n v="7"/>
    <n v="-35.111600000000003"/>
  </r>
  <r>
    <d v="2016-05-14T00:00:00"/>
    <x v="2"/>
    <x v="4"/>
    <x v="1"/>
    <x v="8"/>
    <x v="2"/>
    <x v="11"/>
    <s v="Shipping Labels"/>
    <n v="778.07"/>
    <n v="1"/>
    <n v="-193.35589999999999"/>
  </r>
  <r>
    <d v="2016-05-14T00:00:00"/>
    <x v="2"/>
    <x v="4"/>
    <x v="3"/>
    <x v="3"/>
    <x v="1"/>
    <x v="1"/>
    <s v="IP Phone"/>
    <n v="693.8"/>
    <n v="9"/>
    <n v="-244.47229999999999"/>
  </r>
  <r>
    <d v="2016-05-15T00:00:00"/>
    <x v="2"/>
    <x v="4"/>
    <x v="6"/>
    <x v="1"/>
    <x v="1"/>
    <x v="10"/>
    <s v="Laser Copier"/>
    <n v="970.92"/>
    <n v="9"/>
    <n v="-310.83730000000003"/>
  </r>
  <r>
    <d v="2016-05-15T00:00:00"/>
    <x v="2"/>
    <x v="4"/>
    <x v="4"/>
    <x v="2"/>
    <x v="2"/>
    <x v="7"/>
    <s v="File Cart"/>
    <n v="1184.4100000000001"/>
    <n v="2"/>
    <n v="176.4648"/>
  </r>
  <r>
    <d v="2016-05-16T00:00:00"/>
    <x v="2"/>
    <x v="4"/>
    <x v="7"/>
    <x v="3"/>
    <x v="1"/>
    <x v="8"/>
    <s v="Mouse"/>
    <n v="884.64"/>
    <n v="5"/>
    <n v="-305.38510000000002"/>
  </r>
  <r>
    <d v="2016-05-17T00:00:00"/>
    <x v="2"/>
    <x v="4"/>
    <x v="5"/>
    <x v="3"/>
    <x v="1"/>
    <x v="1"/>
    <s v="IP Phone"/>
    <n v="416.71"/>
    <n v="2"/>
    <n v="2.4472"/>
  </r>
  <r>
    <d v="2016-05-17T00:00:00"/>
    <x v="2"/>
    <x v="4"/>
    <x v="7"/>
    <x v="7"/>
    <x v="2"/>
    <x v="4"/>
    <s v="Premium Paper"/>
    <n v="843.66"/>
    <n v="2"/>
    <n v="67.832800000000006"/>
  </r>
  <r>
    <d v="2016-05-17T00:00:00"/>
    <x v="2"/>
    <x v="4"/>
    <x v="2"/>
    <x v="3"/>
    <x v="0"/>
    <x v="9"/>
    <s v="Conference Table"/>
    <n v="98.65"/>
    <n v="7"/>
    <n v="-24.520499999999998"/>
  </r>
  <r>
    <d v="2016-05-17T00:00:00"/>
    <x v="2"/>
    <x v="4"/>
    <x v="9"/>
    <x v="6"/>
    <x v="1"/>
    <x v="1"/>
    <s v="IP Phone"/>
    <n v="1149.54"/>
    <n v="4"/>
    <n v="-290.07769999999999"/>
  </r>
  <r>
    <d v="2016-05-18T00:00:00"/>
    <x v="2"/>
    <x v="4"/>
    <x v="3"/>
    <x v="1"/>
    <x v="2"/>
    <x v="6"/>
    <s v="Marker Set"/>
    <n v="875.68"/>
    <n v="7"/>
    <n v="-258.60950000000003"/>
  </r>
  <r>
    <d v="2016-05-21T00:00:00"/>
    <x v="2"/>
    <x v="4"/>
    <x v="6"/>
    <x v="9"/>
    <x v="2"/>
    <x v="4"/>
    <s v="Premium Paper"/>
    <n v="1195.97"/>
    <n v="9"/>
    <n v="-181.6756"/>
  </r>
  <r>
    <d v="2016-05-21T00:00:00"/>
    <x v="2"/>
    <x v="4"/>
    <x v="3"/>
    <x v="1"/>
    <x v="2"/>
    <x v="4"/>
    <s v="A4 Paper Pack"/>
    <n v="164.99"/>
    <n v="8"/>
    <n v="28.773299999999999"/>
  </r>
  <r>
    <d v="2016-05-23T00:00:00"/>
    <x v="2"/>
    <x v="4"/>
    <x v="7"/>
    <x v="0"/>
    <x v="0"/>
    <x v="0"/>
    <s v="Wall Frame"/>
    <n v="211.5"/>
    <n v="4"/>
    <n v="59.479799999999997"/>
  </r>
  <r>
    <d v="2016-05-23T00:00:00"/>
    <x v="2"/>
    <x v="4"/>
    <x v="5"/>
    <x v="6"/>
    <x v="2"/>
    <x v="3"/>
    <s v="Ring Binder"/>
    <n v="473.34"/>
    <n v="10"/>
    <n v="127.0714"/>
  </r>
  <r>
    <d v="2016-05-25T00:00:00"/>
    <x v="2"/>
    <x v="4"/>
    <x v="0"/>
    <x v="4"/>
    <x v="1"/>
    <x v="8"/>
    <s v="Mouse"/>
    <n v="675.28"/>
    <n v="2"/>
    <n v="-232.00399999999999"/>
  </r>
  <r>
    <d v="2016-05-27T00:00:00"/>
    <x v="2"/>
    <x v="4"/>
    <x v="0"/>
    <x v="2"/>
    <x v="0"/>
    <x v="2"/>
    <s v="Metal Bookcase"/>
    <n v="206.52"/>
    <n v="6"/>
    <n v="-44.477899999999998"/>
  </r>
  <r>
    <d v="2016-05-29T00:00:00"/>
    <x v="2"/>
    <x v="4"/>
    <x v="9"/>
    <x v="6"/>
    <x v="1"/>
    <x v="8"/>
    <s v="USB Drive"/>
    <n v="990.69"/>
    <n v="8"/>
    <n v="-196.7484"/>
  </r>
  <r>
    <d v="2016-05-29T00:00:00"/>
    <x v="2"/>
    <x v="4"/>
    <x v="8"/>
    <x v="4"/>
    <x v="1"/>
    <x v="8"/>
    <s v="Mouse"/>
    <n v="487.06"/>
    <n v="8"/>
    <n v="-54.800400000000003"/>
  </r>
  <r>
    <d v="2016-05-29T00:00:00"/>
    <x v="2"/>
    <x v="4"/>
    <x v="1"/>
    <x v="7"/>
    <x v="2"/>
    <x v="6"/>
    <s v="Sketch Pad"/>
    <n v="1172.49"/>
    <n v="4"/>
    <n v="340.91340000000002"/>
  </r>
  <r>
    <d v="2016-05-30T00:00:00"/>
    <x v="2"/>
    <x v="4"/>
    <x v="2"/>
    <x v="7"/>
    <x v="0"/>
    <x v="2"/>
    <s v="Wood Bookcase"/>
    <n v="157.30000000000001"/>
    <n v="5"/>
    <n v="-19.900200000000002"/>
  </r>
  <r>
    <d v="2016-05-30T00:00:00"/>
    <x v="2"/>
    <x v="4"/>
    <x v="1"/>
    <x v="4"/>
    <x v="2"/>
    <x v="4"/>
    <s v="A4 Paper Pack"/>
    <n v="1194.8399999999999"/>
    <n v="3"/>
    <n v="110.133"/>
  </r>
  <r>
    <d v="2016-05-31T00:00:00"/>
    <x v="2"/>
    <x v="4"/>
    <x v="0"/>
    <x v="9"/>
    <x v="0"/>
    <x v="5"/>
    <s v="Mesh Office Chair"/>
    <n v="214.96"/>
    <n v="7"/>
    <n v="-0.1211"/>
  </r>
  <r>
    <d v="2016-05-31T00:00:00"/>
    <x v="2"/>
    <x v="4"/>
    <x v="4"/>
    <x v="8"/>
    <x v="0"/>
    <x v="0"/>
    <s v="Desk Lamp"/>
    <n v="724.93"/>
    <n v="3"/>
    <n v="6.6010999999999997"/>
  </r>
  <r>
    <d v="2016-06-01T00:00:00"/>
    <x v="2"/>
    <x v="5"/>
    <x v="3"/>
    <x v="1"/>
    <x v="0"/>
    <x v="2"/>
    <s v="Wood Bookcase"/>
    <n v="942.26"/>
    <n v="7"/>
    <n v="23.941299999999998"/>
  </r>
  <r>
    <d v="2016-06-02T00:00:00"/>
    <x v="2"/>
    <x v="5"/>
    <x v="5"/>
    <x v="1"/>
    <x v="0"/>
    <x v="9"/>
    <s v="Work Table"/>
    <n v="88.62"/>
    <n v="6"/>
    <n v="5.97"/>
  </r>
  <r>
    <d v="2016-06-03T00:00:00"/>
    <x v="2"/>
    <x v="5"/>
    <x v="6"/>
    <x v="2"/>
    <x v="1"/>
    <x v="1"/>
    <s v="IP Phone"/>
    <n v="351.29"/>
    <n v="7"/>
    <n v="-101.51949999999999"/>
  </r>
  <r>
    <d v="2016-06-03T00:00:00"/>
    <x v="2"/>
    <x v="5"/>
    <x v="7"/>
    <x v="5"/>
    <x v="2"/>
    <x v="3"/>
    <s v="Ring Binder"/>
    <n v="1175.49"/>
    <n v="8"/>
    <n v="179.6251"/>
  </r>
  <r>
    <d v="2016-06-03T00:00:00"/>
    <x v="2"/>
    <x v="5"/>
    <x v="8"/>
    <x v="4"/>
    <x v="1"/>
    <x v="10"/>
    <s v="Laser Copier"/>
    <n v="256.97000000000003"/>
    <n v="9"/>
    <n v="81.732600000000005"/>
  </r>
  <r>
    <d v="2016-06-05T00:00:00"/>
    <x v="2"/>
    <x v="5"/>
    <x v="4"/>
    <x v="9"/>
    <x v="0"/>
    <x v="9"/>
    <s v="Conference Table"/>
    <n v="605.91999999999996"/>
    <n v="1"/>
    <n v="135.44919999999999"/>
  </r>
  <r>
    <d v="2016-06-05T00:00:00"/>
    <x v="2"/>
    <x v="5"/>
    <x v="6"/>
    <x v="2"/>
    <x v="0"/>
    <x v="2"/>
    <s v="Wood Bookcase"/>
    <n v="795.75"/>
    <n v="4"/>
    <n v="-30.6783"/>
  </r>
  <r>
    <d v="2016-06-06T00:00:00"/>
    <x v="2"/>
    <x v="5"/>
    <x v="9"/>
    <x v="5"/>
    <x v="2"/>
    <x v="11"/>
    <s v="Address Labels"/>
    <n v="1153.1400000000001"/>
    <n v="8"/>
    <n v="150.46340000000001"/>
  </r>
  <r>
    <d v="2016-06-08T00:00:00"/>
    <x v="2"/>
    <x v="5"/>
    <x v="5"/>
    <x v="3"/>
    <x v="0"/>
    <x v="9"/>
    <s v="Round Table"/>
    <n v="392.79"/>
    <n v="3"/>
    <n v="76.905500000000004"/>
  </r>
  <r>
    <d v="2016-06-09T00:00:00"/>
    <x v="2"/>
    <x v="5"/>
    <x v="3"/>
    <x v="9"/>
    <x v="2"/>
    <x v="3"/>
    <s v="View Binder"/>
    <n v="333.09"/>
    <n v="1"/>
    <n v="-114.4894"/>
  </r>
  <r>
    <d v="2016-06-11T00:00:00"/>
    <x v="2"/>
    <x v="5"/>
    <x v="8"/>
    <x v="0"/>
    <x v="1"/>
    <x v="8"/>
    <s v="USB Drive"/>
    <n v="178.2"/>
    <n v="10"/>
    <n v="-10.470499999999999"/>
  </r>
  <r>
    <d v="2016-06-11T00:00:00"/>
    <x v="2"/>
    <x v="5"/>
    <x v="9"/>
    <x v="4"/>
    <x v="1"/>
    <x v="8"/>
    <s v="Keyboard"/>
    <n v="246.1"/>
    <n v="2"/>
    <n v="56.673200000000001"/>
  </r>
  <r>
    <d v="2016-06-12T00:00:00"/>
    <x v="2"/>
    <x v="5"/>
    <x v="5"/>
    <x v="0"/>
    <x v="2"/>
    <x v="7"/>
    <s v="File Cart"/>
    <n v="143.65"/>
    <n v="8"/>
    <n v="-53.065199999999997"/>
  </r>
  <r>
    <d v="2016-06-18T00:00:00"/>
    <x v="2"/>
    <x v="5"/>
    <x v="2"/>
    <x v="8"/>
    <x v="1"/>
    <x v="10"/>
    <s v="Laser Copier"/>
    <n v="153.6"/>
    <n v="5"/>
    <n v="19.1693"/>
  </r>
  <r>
    <d v="2016-06-19T00:00:00"/>
    <x v="2"/>
    <x v="5"/>
    <x v="4"/>
    <x v="0"/>
    <x v="1"/>
    <x v="1"/>
    <s v="Business Phone"/>
    <n v="97.59"/>
    <n v="5"/>
    <n v="-21.872800000000002"/>
  </r>
  <r>
    <d v="2016-06-19T00:00:00"/>
    <x v="2"/>
    <x v="5"/>
    <x v="6"/>
    <x v="2"/>
    <x v="2"/>
    <x v="6"/>
    <s v="Marker Set"/>
    <n v="86.6"/>
    <n v="8"/>
    <n v="6.3685"/>
  </r>
  <r>
    <d v="2016-06-19T00:00:00"/>
    <x v="2"/>
    <x v="5"/>
    <x v="3"/>
    <x v="9"/>
    <x v="1"/>
    <x v="10"/>
    <s v="Office Copier"/>
    <n v="809.86"/>
    <n v="2"/>
    <n v="-214.0975"/>
  </r>
  <r>
    <d v="2016-06-20T00:00:00"/>
    <x v="2"/>
    <x v="5"/>
    <x v="7"/>
    <x v="9"/>
    <x v="1"/>
    <x v="8"/>
    <s v="Keyboard"/>
    <n v="405.01"/>
    <n v="10"/>
    <n v="-120.65519999999999"/>
  </r>
  <r>
    <d v="2016-06-20T00:00:00"/>
    <x v="2"/>
    <x v="5"/>
    <x v="2"/>
    <x v="0"/>
    <x v="2"/>
    <x v="11"/>
    <s v="Address Labels"/>
    <n v="872.57"/>
    <n v="3"/>
    <n v="-211.03749999999999"/>
  </r>
  <r>
    <d v="2016-06-23T00:00:00"/>
    <x v="2"/>
    <x v="5"/>
    <x v="9"/>
    <x v="0"/>
    <x v="1"/>
    <x v="1"/>
    <s v="IP Phone"/>
    <n v="372.9"/>
    <n v="7"/>
    <n v="-76.498500000000007"/>
  </r>
  <r>
    <d v="2016-06-24T00:00:00"/>
    <x v="2"/>
    <x v="5"/>
    <x v="8"/>
    <x v="8"/>
    <x v="2"/>
    <x v="11"/>
    <s v="Shipping Labels"/>
    <n v="499.95"/>
    <n v="4"/>
    <n v="83.095399999999998"/>
  </r>
  <r>
    <d v="2016-06-25T00:00:00"/>
    <x v="2"/>
    <x v="5"/>
    <x v="3"/>
    <x v="7"/>
    <x v="1"/>
    <x v="10"/>
    <s v="Laser Copier"/>
    <n v="737.12"/>
    <n v="9"/>
    <n v="-58.928600000000003"/>
  </r>
  <r>
    <d v="2016-06-25T00:00:00"/>
    <x v="2"/>
    <x v="5"/>
    <x v="6"/>
    <x v="3"/>
    <x v="1"/>
    <x v="8"/>
    <s v="Keyboard"/>
    <n v="360.34"/>
    <n v="10"/>
    <n v="123.42489999999999"/>
  </r>
  <r>
    <d v="2016-06-26T00:00:00"/>
    <x v="2"/>
    <x v="5"/>
    <x v="5"/>
    <x v="6"/>
    <x v="1"/>
    <x v="1"/>
    <s v="Business Phone"/>
    <n v="300.36"/>
    <n v="1"/>
    <n v="-75.274699999999996"/>
  </r>
  <r>
    <d v="2016-06-27T00:00:00"/>
    <x v="2"/>
    <x v="5"/>
    <x v="3"/>
    <x v="1"/>
    <x v="2"/>
    <x v="3"/>
    <s v="View Binder"/>
    <n v="92.82"/>
    <n v="2"/>
    <n v="-14.7042"/>
  </r>
  <r>
    <d v="2016-06-27T00:00:00"/>
    <x v="2"/>
    <x v="5"/>
    <x v="0"/>
    <x v="6"/>
    <x v="0"/>
    <x v="5"/>
    <s v="Ergo Chair"/>
    <n v="972.11"/>
    <n v="2"/>
    <n v="271.03250000000003"/>
  </r>
  <r>
    <d v="2016-06-28T00:00:00"/>
    <x v="2"/>
    <x v="5"/>
    <x v="5"/>
    <x v="5"/>
    <x v="1"/>
    <x v="1"/>
    <s v="Business Phone"/>
    <n v="459.4"/>
    <n v="9"/>
    <n v="-96.679000000000002"/>
  </r>
  <r>
    <d v="2016-07-01T00:00:00"/>
    <x v="2"/>
    <x v="6"/>
    <x v="8"/>
    <x v="9"/>
    <x v="1"/>
    <x v="1"/>
    <s v="Business Phone"/>
    <n v="1063.07"/>
    <n v="8"/>
    <n v="-211.1687"/>
  </r>
  <r>
    <d v="2016-07-03T00:00:00"/>
    <x v="2"/>
    <x v="6"/>
    <x v="6"/>
    <x v="4"/>
    <x v="1"/>
    <x v="10"/>
    <s v="Office Copier"/>
    <n v="446.87"/>
    <n v="3"/>
    <n v="-91.188500000000005"/>
  </r>
  <r>
    <d v="2016-07-03T00:00:00"/>
    <x v="2"/>
    <x v="6"/>
    <x v="4"/>
    <x v="3"/>
    <x v="0"/>
    <x v="0"/>
    <s v="Desk Lamp"/>
    <n v="696.83"/>
    <n v="2"/>
    <n v="230.577"/>
  </r>
  <r>
    <d v="2016-07-07T00:00:00"/>
    <x v="2"/>
    <x v="6"/>
    <x v="8"/>
    <x v="3"/>
    <x v="0"/>
    <x v="9"/>
    <s v="Round Table"/>
    <n v="172.52"/>
    <n v="3"/>
    <n v="-32.966999999999999"/>
  </r>
  <r>
    <d v="2016-07-07T00:00:00"/>
    <x v="2"/>
    <x v="6"/>
    <x v="4"/>
    <x v="6"/>
    <x v="1"/>
    <x v="1"/>
    <s v="Business Phone"/>
    <n v="934.73"/>
    <n v="9"/>
    <n v="42.296100000000003"/>
  </r>
  <r>
    <d v="2016-07-08T00:00:00"/>
    <x v="2"/>
    <x v="6"/>
    <x v="5"/>
    <x v="7"/>
    <x v="0"/>
    <x v="0"/>
    <s v="Desk Lamp"/>
    <n v="709.17"/>
    <n v="1"/>
    <n v="119.9246"/>
  </r>
  <r>
    <d v="2016-07-09T00:00:00"/>
    <x v="2"/>
    <x v="6"/>
    <x v="6"/>
    <x v="6"/>
    <x v="0"/>
    <x v="5"/>
    <s v="Ergo Chair"/>
    <n v="561.94000000000005"/>
    <n v="7"/>
    <n v="-173.89089999999999"/>
  </r>
  <r>
    <d v="2016-07-09T00:00:00"/>
    <x v="2"/>
    <x v="6"/>
    <x v="2"/>
    <x v="0"/>
    <x v="2"/>
    <x v="11"/>
    <s v="Address Labels"/>
    <n v="704.35"/>
    <n v="4"/>
    <n v="-125.99160000000001"/>
  </r>
  <r>
    <d v="2016-07-10T00:00:00"/>
    <x v="2"/>
    <x v="6"/>
    <x v="0"/>
    <x v="5"/>
    <x v="2"/>
    <x v="3"/>
    <s v="View Binder"/>
    <n v="568.07000000000005"/>
    <n v="6"/>
    <n v="-138.179"/>
  </r>
  <r>
    <d v="2016-07-11T00:00:00"/>
    <x v="2"/>
    <x v="6"/>
    <x v="4"/>
    <x v="8"/>
    <x v="0"/>
    <x v="0"/>
    <s v="Wall Frame"/>
    <n v="918.46"/>
    <n v="5"/>
    <n v="201.1276"/>
  </r>
  <r>
    <d v="2016-07-12T00:00:00"/>
    <x v="2"/>
    <x v="6"/>
    <x v="3"/>
    <x v="8"/>
    <x v="0"/>
    <x v="9"/>
    <s v="Work Table"/>
    <n v="745.19"/>
    <n v="6"/>
    <n v="233.90129999999999"/>
  </r>
  <r>
    <d v="2016-07-13T00:00:00"/>
    <x v="2"/>
    <x v="6"/>
    <x v="2"/>
    <x v="2"/>
    <x v="1"/>
    <x v="8"/>
    <s v="Keyboard"/>
    <n v="576.65"/>
    <n v="3"/>
    <n v="-117.9192"/>
  </r>
  <r>
    <d v="2016-07-14T00:00:00"/>
    <x v="2"/>
    <x v="6"/>
    <x v="3"/>
    <x v="7"/>
    <x v="1"/>
    <x v="10"/>
    <s v="Laser Copier"/>
    <n v="747.04"/>
    <n v="2"/>
    <n v="-193.28530000000001"/>
  </r>
  <r>
    <d v="2016-07-14T00:00:00"/>
    <x v="2"/>
    <x v="6"/>
    <x v="6"/>
    <x v="5"/>
    <x v="0"/>
    <x v="9"/>
    <s v="Conference Table"/>
    <n v="1036.49"/>
    <n v="7"/>
    <n v="-244.66829999999999"/>
  </r>
  <r>
    <d v="2016-07-15T00:00:00"/>
    <x v="2"/>
    <x v="6"/>
    <x v="0"/>
    <x v="5"/>
    <x v="0"/>
    <x v="2"/>
    <s v="Metal Bookcase"/>
    <n v="586.04"/>
    <n v="9"/>
    <n v="130.2004"/>
  </r>
  <r>
    <d v="2016-07-16T00:00:00"/>
    <x v="2"/>
    <x v="6"/>
    <x v="0"/>
    <x v="6"/>
    <x v="1"/>
    <x v="8"/>
    <s v="Mouse"/>
    <n v="330.2"/>
    <n v="10"/>
    <n v="-10.2372"/>
  </r>
  <r>
    <d v="2016-07-16T00:00:00"/>
    <x v="2"/>
    <x v="6"/>
    <x v="9"/>
    <x v="9"/>
    <x v="1"/>
    <x v="8"/>
    <s v="Mouse"/>
    <n v="331.25"/>
    <n v="6"/>
    <n v="-47.626300000000001"/>
  </r>
  <r>
    <d v="2016-07-18T00:00:00"/>
    <x v="2"/>
    <x v="6"/>
    <x v="1"/>
    <x v="3"/>
    <x v="1"/>
    <x v="10"/>
    <s v="Laser Copier"/>
    <n v="495.13"/>
    <n v="2"/>
    <n v="25.208300000000001"/>
  </r>
  <r>
    <d v="2016-07-18T00:00:00"/>
    <x v="2"/>
    <x v="6"/>
    <x v="6"/>
    <x v="2"/>
    <x v="0"/>
    <x v="2"/>
    <s v="Wood Bookcase"/>
    <n v="623.07000000000005"/>
    <n v="10"/>
    <n v="-159.28100000000001"/>
  </r>
  <r>
    <d v="2016-07-20T00:00:00"/>
    <x v="2"/>
    <x v="6"/>
    <x v="2"/>
    <x v="1"/>
    <x v="0"/>
    <x v="0"/>
    <s v="Office Clock"/>
    <n v="345.87"/>
    <n v="9"/>
    <n v="33.3431"/>
  </r>
  <r>
    <d v="2016-07-20T00:00:00"/>
    <x v="2"/>
    <x v="6"/>
    <x v="5"/>
    <x v="6"/>
    <x v="2"/>
    <x v="6"/>
    <s v="Sketch Pad"/>
    <n v="910.04"/>
    <n v="8"/>
    <n v="61.753300000000003"/>
  </r>
  <r>
    <d v="2016-07-21T00:00:00"/>
    <x v="2"/>
    <x v="6"/>
    <x v="5"/>
    <x v="3"/>
    <x v="2"/>
    <x v="4"/>
    <s v="A4 Paper Pack"/>
    <n v="500.26"/>
    <n v="10"/>
    <n v="-127.1529"/>
  </r>
  <r>
    <d v="2016-07-21T00:00:00"/>
    <x v="2"/>
    <x v="6"/>
    <x v="0"/>
    <x v="2"/>
    <x v="1"/>
    <x v="1"/>
    <s v="Business Phone"/>
    <n v="615.38"/>
    <n v="1"/>
    <n v="-15.564500000000001"/>
  </r>
  <r>
    <d v="2016-07-21T00:00:00"/>
    <x v="2"/>
    <x v="6"/>
    <x v="6"/>
    <x v="2"/>
    <x v="1"/>
    <x v="10"/>
    <s v="Office Copier"/>
    <n v="900.46"/>
    <n v="6"/>
    <n v="268.88619999999997"/>
  </r>
  <r>
    <d v="2016-07-22T00:00:00"/>
    <x v="2"/>
    <x v="6"/>
    <x v="2"/>
    <x v="6"/>
    <x v="0"/>
    <x v="2"/>
    <s v="Metal Bookcase"/>
    <n v="874.76"/>
    <n v="10"/>
    <n v="-6.0461"/>
  </r>
  <r>
    <d v="2016-07-24T00:00:00"/>
    <x v="2"/>
    <x v="6"/>
    <x v="9"/>
    <x v="2"/>
    <x v="2"/>
    <x v="11"/>
    <s v="Shipping Labels"/>
    <n v="1015.14"/>
    <n v="4"/>
    <n v="354.82209999999998"/>
  </r>
  <r>
    <d v="2016-07-25T00:00:00"/>
    <x v="2"/>
    <x v="6"/>
    <x v="0"/>
    <x v="3"/>
    <x v="1"/>
    <x v="8"/>
    <s v="USB Drive"/>
    <n v="680.95"/>
    <n v="8"/>
    <n v="8.3719999999999999"/>
  </r>
  <r>
    <d v="2016-07-26T00:00:00"/>
    <x v="2"/>
    <x v="6"/>
    <x v="3"/>
    <x v="4"/>
    <x v="0"/>
    <x v="5"/>
    <s v="Executive Chair"/>
    <n v="49.2"/>
    <n v="4"/>
    <n v="-18.063500000000001"/>
  </r>
  <r>
    <d v="2016-07-28T00:00:00"/>
    <x v="2"/>
    <x v="6"/>
    <x v="9"/>
    <x v="3"/>
    <x v="1"/>
    <x v="8"/>
    <s v="Keyboard"/>
    <n v="175.73"/>
    <n v="3"/>
    <n v="-37.787100000000002"/>
  </r>
  <r>
    <d v="2016-07-28T00:00:00"/>
    <x v="2"/>
    <x v="6"/>
    <x v="1"/>
    <x v="4"/>
    <x v="2"/>
    <x v="11"/>
    <s v="Shipping Labels"/>
    <n v="1142.45"/>
    <n v="9"/>
    <n v="223.86940000000001"/>
  </r>
  <r>
    <d v="2016-07-29T00:00:00"/>
    <x v="2"/>
    <x v="6"/>
    <x v="0"/>
    <x v="1"/>
    <x v="0"/>
    <x v="2"/>
    <s v="Metal Bookcase"/>
    <n v="680.18"/>
    <n v="4"/>
    <n v="-119.0444"/>
  </r>
  <r>
    <d v="2016-07-29T00:00:00"/>
    <x v="2"/>
    <x v="6"/>
    <x v="0"/>
    <x v="8"/>
    <x v="2"/>
    <x v="11"/>
    <s v="Shipping Labels"/>
    <n v="306.14"/>
    <n v="8"/>
    <n v="-53.082000000000001"/>
  </r>
  <r>
    <d v="2016-08-02T00:00:00"/>
    <x v="2"/>
    <x v="7"/>
    <x v="1"/>
    <x v="6"/>
    <x v="0"/>
    <x v="5"/>
    <s v="Executive Chair"/>
    <n v="775.39"/>
    <n v="2"/>
    <n v="-141.12909999999999"/>
  </r>
  <r>
    <d v="2016-08-03T00:00:00"/>
    <x v="2"/>
    <x v="7"/>
    <x v="1"/>
    <x v="9"/>
    <x v="1"/>
    <x v="10"/>
    <s v="Laser Copier"/>
    <n v="924.48"/>
    <n v="7"/>
    <n v="-21.096599999999999"/>
  </r>
  <r>
    <d v="2016-08-05T00:00:00"/>
    <x v="2"/>
    <x v="7"/>
    <x v="0"/>
    <x v="6"/>
    <x v="1"/>
    <x v="1"/>
    <s v="Business Phone"/>
    <n v="698.49"/>
    <n v="1"/>
    <n v="-43.795099999999998"/>
  </r>
  <r>
    <d v="2016-08-05T00:00:00"/>
    <x v="2"/>
    <x v="7"/>
    <x v="8"/>
    <x v="7"/>
    <x v="0"/>
    <x v="5"/>
    <s v="Executive Chair"/>
    <n v="219.56"/>
    <n v="3"/>
    <n v="50.978000000000002"/>
  </r>
  <r>
    <d v="2016-08-07T00:00:00"/>
    <x v="2"/>
    <x v="7"/>
    <x v="9"/>
    <x v="9"/>
    <x v="2"/>
    <x v="4"/>
    <s v="Premium Paper"/>
    <n v="1022.2"/>
    <n v="8"/>
    <n v="-367.72859999999997"/>
  </r>
  <r>
    <d v="2016-08-07T00:00:00"/>
    <x v="2"/>
    <x v="7"/>
    <x v="3"/>
    <x v="6"/>
    <x v="2"/>
    <x v="4"/>
    <s v="Premium Paper"/>
    <n v="759.9"/>
    <n v="3"/>
    <n v="190.8817"/>
  </r>
  <r>
    <d v="2016-08-07T00:00:00"/>
    <x v="2"/>
    <x v="7"/>
    <x v="7"/>
    <x v="8"/>
    <x v="1"/>
    <x v="1"/>
    <s v="IP Phone"/>
    <n v="996.72"/>
    <n v="8"/>
    <n v="-331.07990000000001"/>
  </r>
  <r>
    <d v="2016-08-08T00:00:00"/>
    <x v="2"/>
    <x v="7"/>
    <x v="6"/>
    <x v="9"/>
    <x v="1"/>
    <x v="10"/>
    <s v="Office Copier"/>
    <n v="925.55"/>
    <n v="4"/>
    <n v="-178.33500000000001"/>
  </r>
  <r>
    <d v="2016-08-13T00:00:00"/>
    <x v="2"/>
    <x v="7"/>
    <x v="4"/>
    <x v="7"/>
    <x v="0"/>
    <x v="2"/>
    <s v="Wood Bookcase"/>
    <n v="151.41"/>
    <n v="8"/>
    <n v="-32.411000000000001"/>
  </r>
  <r>
    <d v="2016-08-15T00:00:00"/>
    <x v="2"/>
    <x v="7"/>
    <x v="1"/>
    <x v="6"/>
    <x v="2"/>
    <x v="7"/>
    <s v="File Cart"/>
    <n v="721.72"/>
    <n v="6"/>
    <n v="172.4958"/>
  </r>
  <r>
    <d v="2016-08-16T00:00:00"/>
    <x v="2"/>
    <x v="7"/>
    <x v="7"/>
    <x v="2"/>
    <x v="0"/>
    <x v="0"/>
    <s v="Office Clock"/>
    <n v="637.29"/>
    <n v="9"/>
    <n v="156.5087"/>
  </r>
  <r>
    <d v="2016-08-17T00:00:00"/>
    <x v="2"/>
    <x v="7"/>
    <x v="0"/>
    <x v="0"/>
    <x v="2"/>
    <x v="6"/>
    <s v="Marker Set"/>
    <n v="1155.6600000000001"/>
    <n v="3"/>
    <n v="191.393"/>
  </r>
  <r>
    <d v="2016-08-17T00:00:00"/>
    <x v="2"/>
    <x v="7"/>
    <x v="3"/>
    <x v="2"/>
    <x v="0"/>
    <x v="5"/>
    <s v="Executive Chair"/>
    <n v="121.23"/>
    <n v="5"/>
    <n v="13.7424"/>
  </r>
  <r>
    <d v="2016-08-18T00:00:00"/>
    <x v="2"/>
    <x v="7"/>
    <x v="8"/>
    <x v="5"/>
    <x v="1"/>
    <x v="10"/>
    <s v="Office Copier"/>
    <n v="147.11000000000001"/>
    <n v="5"/>
    <n v="-54.068600000000004"/>
  </r>
  <r>
    <d v="2016-08-19T00:00:00"/>
    <x v="2"/>
    <x v="7"/>
    <x v="9"/>
    <x v="7"/>
    <x v="2"/>
    <x v="11"/>
    <s v="Address Labels"/>
    <n v="915.15"/>
    <n v="6"/>
    <n v="261.50220000000002"/>
  </r>
  <r>
    <d v="2016-08-19T00:00:00"/>
    <x v="2"/>
    <x v="7"/>
    <x v="5"/>
    <x v="3"/>
    <x v="1"/>
    <x v="8"/>
    <s v="Keyboard"/>
    <n v="1101.8900000000001"/>
    <n v="1"/>
    <n v="-407.77809999999999"/>
  </r>
  <r>
    <d v="2016-08-20T00:00:00"/>
    <x v="2"/>
    <x v="7"/>
    <x v="6"/>
    <x v="1"/>
    <x v="1"/>
    <x v="8"/>
    <s v="USB Drive"/>
    <n v="420.81"/>
    <n v="6"/>
    <n v="-66.995599999999996"/>
  </r>
  <r>
    <d v="2016-08-21T00:00:00"/>
    <x v="2"/>
    <x v="7"/>
    <x v="7"/>
    <x v="8"/>
    <x v="2"/>
    <x v="6"/>
    <s v="Marker Set"/>
    <n v="28.16"/>
    <n v="9"/>
    <n v="-10.164"/>
  </r>
  <r>
    <d v="2016-08-21T00:00:00"/>
    <x v="2"/>
    <x v="7"/>
    <x v="6"/>
    <x v="5"/>
    <x v="2"/>
    <x v="3"/>
    <s v="Ring Binder"/>
    <n v="881.5"/>
    <n v="9"/>
    <n v="-330.37259999999998"/>
  </r>
  <r>
    <d v="2016-08-21T00:00:00"/>
    <x v="2"/>
    <x v="7"/>
    <x v="4"/>
    <x v="2"/>
    <x v="2"/>
    <x v="7"/>
    <s v="Storage Box"/>
    <n v="950.24"/>
    <n v="10"/>
    <n v="-333.8623"/>
  </r>
  <r>
    <d v="2016-08-22T00:00:00"/>
    <x v="2"/>
    <x v="7"/>
    <x v="4"/>
    <x v="5"/>
    <x v="0"/>
    <x v="2"/>
    <s v="Wood Bookcase"/>
    <n v="1090.33"/>
    <n v="10"/>
    <n v="331.99619999999999"/>
  </r>
  <r>
    <d v="2016-08-24T00:00:00"/>
    <x v="2"/>
    <x v="7"/>
    <x v="0"/>
    <x v="9"/>
    <x v="2"/>
    <x v="11"/>
    <s v="Address Labels"/>
    <n v="786.64"/>
    <n v="3"/>
    <n v="195.95169999999999"/>
  </r>
  <r>
    <d v="2016-08-25T00:00:00"/>
    <x v="2"/>
    <x v="7"/>
    <x v="9"/>
    <x v="4"/>
    <x v="0"/>
    <x v="5"/>
    <s v="Mesh Office Chair"/>
    <n v="836.81"/>
    <n v="3"/>
    <n v="141.53039999999999"/>
  </r>
  <r>
    <d v="2016-08-25T00:00:00"/>
    <x v="2"/>
    <x v="7"/>
    <x v="1"/>
    <x v="5"/>
    <x v="0"/>
    <x v="0"/>
    <s v="Office Clock"/>
    <n v="125.15"/>
    <n v="3"/>
    <n v="-49.573700000000002"/>
  </r>
  <r>
    <d v="2016-08-27T00:00:00"/>
    <x v="2"/>
    <x v="7"/>
    <x v="8"/>
    <x v="1"/>
    <x v="1"/>
    <x v="8"/>
    <s v="USB Drive"/>
    <n v="1005.2"/>
    <n v="5"/>
    <n v="-391.14550000000003"/>
  </r>
  <r>
    <d v="2016-08-27T00:00:00"/>
    <x v="2"/>
    <x v="7"/>
    <x v="4"/>
    <x v="7"/>
    <x v="0"/>
    <x v="9"/>
    <s v="Work Table"/>
    <n v="43.97"/>
    <n v="3"/>
    <n v="13.5451"/>
  </r>
  <r>
    <d v="2016-08-28T00:00:00"/>
    <x v="2"/>
    <x v="7"/>
    <x v="5"/>
    <x v="8"/>
    <x v="2"/>
    <x v="4"/>
    <s v="A4 Paper Pack"/>
    <n v="419.31"/>
    <n v="8"/>
    <n v="64.272599999999997"/>
  </r>
  <r>
    <d v="2016-08-29T00:00:00"/>
    <x v="2"/>
    <x v="7"/>
    <x v="1"/>
    <x v="3"/>
    <x v="1"/>
    <x v="10"/>
    <s v="Office Copier"/>
    <n v="284.3"/>
    <n v="10"/>
    <n v="53.869399999999999"/>
  </r>
  <r>
    <d v="2016-08-30T00:00:00"/>
    <x v="2"/>
    <x v="7"/>
    <x v="9"/>
    <x v="6"/>
    <x v="2"/>
    <x v="4"/>
    <s v="Premium Paper"/>
    <n v="820.87"/>
    <n v="5"/>
    <n v="213.07749999999999"/>
  </r>
  <r>
    <d v="2016-09-01T00:00:00"/>
    <x v="2"/>
    <x v="8"/>
    <x v="7"/>
    <x v="8"/>
    <x v="2"/>
    <x v="7"/>
    <s v="Storage Box"/>
    <n v="1127.2"/>
    <n v="6"/>
    <n v="-299.3021"/>
  </r>
  <r>
    <d v="2016-09-01T00:00:00"/>
    <x v="2"/>
    <x v="8"/>
    <x v="3"/>
    <x v="7"/>
    <x v="1"/>
    <x v="10"/>
    <s v="Laser Copier"/>
    <n v="676.9"/>
    <n v="3"/>
    <n v="-13.528700000000001"/>
  </r>
  <r>
    <d v="2016-09-02T00:00:00"/>
    <x v="2"/>
    <x v="8"/>
    <x v="8"/>
    <x v="4"/>
    <x v="0"/>
    <x v="9"/>
    <s v="Work Table"/>
    <n v="1007.57"/>
    <n v="2"/>
    <n v="-63.082799999999999"/>
  </r>
  <r>
    <d v="2016-09-02T00:00:00"/>
    <x v="2"/>
    <x v="8"/>
    <x v="8"/>
    <x v="6"/>
    <x v="0"/>
    <x v="0"/>
    <s v="Desk Lamp"/>
    <n v="261.67"/>
    <n v="2"/>
    <n v="-32.193100000000001"/>
  </r>
  <r>
    <d v="2016-09-06T00:00:00"/>
    <x v="2"/>
    <x v="8"/>
    <x v="5"/>
    <x v="4"/>
    <x v="1"/>
    <x v="1"/>
    <s v="Business Phone"/>
    <n v="632.95000000000005"/>
    <n v="6"/>
    <n v="200.97059999999999"/>
  </r>
  <r>
    <d v="2016-09-06T00:00:00"/>
    <x v="2"/>
    <x v="8"/>
    <x v="7"/>
    <x v="1"/>
    <x v="2"/>
    <x v="6"/>
    <s v="Sketch Pad"/>
    <n v="960.88"/>
    <n v="3"/>
    <n v="-302.87670000000003"/>
  </r>
  <r>
    <d v="2016-09-06T00:00:00"/>
    <x v="2"/>
    <x v="8"/>
    <x v="9"/>
    <x v="1"/>
    <x v="1"/>
    <x v="1"/>
    <s v="Business Phone"/>
    <n v="526.09"/>
    <n v="2"/>
    <n v="2.6812"/>
  </r>
  <r>
    <d v="2016-09-07T00:00:00"/>
    <x v="2"/>
    <x v="8"/>
    <x v="3"/>
    <x v="6"/>
    <x v="0"/>
    <x v="2"/>
    <s v="Metal Bookcase"/>
    <n v="531.36"/>
    <n v="3"/>
    <n v="172.2261"/>
  </r>
  <r>
    <d v="2016-09-07T00:00:00"/>
    <x v="2"/>
    <x v="8"/>
    <x v="5"/>
    <x v="3"/>
    <x v="0"/>
    <x v="5"/>
    <s v="Executive Chair"/>
    <n v="1097.76"/>
    <n v="10"/>
    <n v="140.3227"/>
  </r>
  <r>
    <d v="2016-09-08T00:00:00"/>
    <x v="2"/>
    <x v="8"/>
    <x v="8"/>
    <x v="3"/>
    <x v="1"/>
    <x v="10"/>
    <s v="Office Copier"/>
    <n v="254.62"/>
    <n v="6"/>
    <n v="-43.9497"/>
  </r>
  <r>
    <d v="2016-09-08T00:00:00"/>
    <x v="2"/>
    <x v="8"/>
    <x v="2"/>
    <x v="1"/>
    <x v="2"/>
    <x v="3"/>
    <s v="View Binder"/>
    <n v="700.78"/>
    <n v="9"/>
    <n v="-14.044"/>
  </r>
  <r>
    <d v="2016-09-08T00:00:00"/>
    <x v="2"/>
    <x v="8"/>
    <x v="7"/>
    <x v="9"/>
    <x v="1"/>
    <x v="8"/>
    <s v="USB Drive"/>
    <n v="947.53"/>
    <n v="10"/>
    <n v="83.597899999999996"/>
  </r>
  <r>
    <d v="2016-09-08T00:00:00"/>
    <x v="2"/>
    <x v="8"/>
    <x v="5"/>
    <x v="4"/>
    <x v="0"/>
    <x v="2"/>
    <s v="Metal Bookcase"/>
    <n v="1099.81"/>
    <n v="1"/>
    <n v="92.647099999999995"/>
  </r>
  <r>
    <d v="2016-09-09T00:00:00"/>
    <x v="2"/>
    <x v="8"/>
    <x v="2"/>
    <x v="5"/>
    <x v="0"/>
    <x v="0"/>
    <s v="Wall Frame"/>
    <n v="547.6"/>
    <n v="5"/>
    <n v="24.999700000000001"/>
  </r>
  <r>
    <d v="2016-09-09T00:00:00"/>
    <x v="2"/>
    <x v="8"/>
    <x v="9"/>
    <x v="8"/>
    <x v="0"/>
    <x v="5"/>
    <s v="Ergo Chair"/>
    <n v="521.17999999999995"/>
    <n v="1"/>
    <n v="23.139399999999998"/>
  </r>
  <r>
    <d v="2016-09-10T00:00:00"/>
    <x v="2"/>
    <x v="8"/>
    <x v="9"/>
    <x v="5"/>
    <x v="2"/>
    <x v="3"/>
    <s v="View Binder"/>
    <n v="243.61"/>
    <n v="1"/>
    <n v="-59.632100000000001"/>
  </r>
  <r>
    <d v="2016-09-12T00:00:00"/>
    <x v="2"/>
    <x v="8"/>
    <x v="8"/>
    <x v="3"/>
    <x v="0"/>
    <x v="0"/>
    <s v="Office Clock"/>
    <n v="260.43"/>
    <n v="7"/>
    <n v="72.095399999999998"/>
  </r>
  <r>
    <d v="2016-09-12T00:00:00"/>
    <x v="2"/>
    <x v="8"/>
    <x v="4"/>
    <x v="9"/>
    <x v="0"/>
    <x v="5"/>
    <s v="Mesh Office Chair"/>
    <n v="689.81"/>
    <n v="10"/>
    <n v="-41.884700000000002"/>
  </r>
  <r>
    <d v="2016-09-13T00:00:00"/>
    <x v="2"/>
    <x v="8"/>
    <x v="6"/>
    <x v="2"/>
    <x v="2"/>
    <x v="6"/>
    <s v="Marker Set"/>
    <n v="81.290000000000006"/>
    <n v="5"/>
    <n v="6.5395000000000003"/>
  </r>
  <r>
    <d v="2016-09-13T00:00:00"/>
    <x v="2"/>
    <x v="8"/>
    <x v="8"/>
    <x v="3"/>
    <x v="2"/>
    <x v="6"/>
    <s v="Marker Set"/>
    <n v="811.9"/>
    <n v="8"/>
    <n v="-196.4571"/>
  </r>
  <r>
    <d v="2016-09-14T00:00:00"/>
    <x v="2"/>
    <x v="8"/>
    <x v="6"/>
    <x v="2"/>
    <x v="0"/>
    <x v="5"/>
    <s v="Ergo Chair"/>
    <n v="792.97"/>
    <n v="10"/>
    <n v="3.5402"/>
  </r>
  <r>
    <d v="2016-09-15T00:00:00"/>
    <x v="2"/>
    <x v="8"/>
    <x v="5"/>
    <x v="4"/>
    <x v="0"/>
    <x v="0"/>
    <s v="Wall Frame"/>
    <n v="963.71"/>
    <n v="8"/>
    <n v="-254.47200000000001"/>
  </r>
  <r>
    <d v="2016-09-16T00:00:00"/>
    <x v="2"/>
    <x v="8"/>
    <x v="7"/>
    <x v="9"/>
    <x v="1"/>
    <x v="1"/>
    <s v="IP Phone"/>
    <n v="1104.8800000000001"/>
    <n v="2"/>
    <n v="293.5616"/>
  </r>
  <r>
    <d v="2016-09-18T00:00:00"/>
    <x v="2"/>
    <x v="8"/>
    <x v="4"/>
    <x v="4"/>
    <x v="0"/>
    <x v="9"/>
    <s v="Round Table"/>
    <n v="335.42"/>
    <n v="10"/>
    <n v="111.5121"/>
  </r>
  <r>
    <d v="2016-09-19T00:00:00"/>
    <x v="2"/>
    <x v="8"/>
    <x v="1"/>
    <x v="0"/>
    <x v="0"/>
    <x v="0"/>
    <s v="Wall Frame"/>
    <n v="912.59"/>
    <n v="6"/>
    <n v="196.9032"/>
  </r>
  <r>
    <d v="2016-09-20T00:00:00"/>
    <x v="2"/>
    <x v="8"/>
    <x v="5"/>
    <x v="7"/>
    <x v="0"/>
    <x v="9"/>
    <s v="Conference Table"/>
    <n v="620.30999999999995"/>
    <n v="2"/>
    <n v="168.29589999999999"/>
  </r>
  <r>
    <d v="2016-09-20T00:00:00"/>
    <x v="2"/>
    <x v="8"/>
    <x v="2"/>
    <x v="5"/>
    <x v="0"/>
    <x v="2"/>
    <s v="Metal Bookcase"/>
    <n v="497.33"/>
    <n v="3"/>
    <n v="-160.7304"/>
  </r>
  <r>
    <d v="2016-09-23T00:00:00"/>
    <x v="2"/>
    <x v="8"/>
    <x v="8"/>
    <x v="9"/>
    <x v="2"/>
    <x v="3"/>
    <s v="View Binder"/>
    <n v="634.69000000000005"/>
    <n v="5"/>
    <n v="-232.25649999999999"/>
  </r>
  <r>
    <d v="2016-09-23T00:00:00"/>
    <x v="2"/>
    <x v="8"/>
    <x v="5"/>
    <x v="7"/>
    <x v="2"/>
    <x v="4"/>
    <s v="Premium Paper"/>
    <n v="57.4"/>
    <n v="4"/>
    <n v="-9.1705000000000005"/>
  </r>
  <r>
    <d v="2016-09-25T00:00:00"/>
    <x v="2"/>
    <x v="8"/>
    <x v="3"/>
    <x v="4"/>
    <x v="2"/>
    <x v="7"/>
    <s v="Storage Box"/>
    <n v="402.49"/>
    <n v="3"/>
    <n v="-66.386499999999998"/>
  </r>
  <r>
    <d v="2016-09-25T00:00:00"/>
    <x v="2"/>
    <x v="8"/>
    <x v="2"/>
    <x v="0"/>
    <x v="2"/>
    <x v="3"/>
    <s v="Ring Binder"/>
    <n v="281.94"/>
    <n v="5"/>
    <n v="-34.6571"/>
  </r>
  <r>
    <d v="2016-09-26T00:00:00"/>
    <x v="2"/>
    <x v="8"/>
    <x v="7"/>
    <x v="7"/>
    <x v="1"/>
    <x v="10"/>
    <s v="Office Copier"/>
    <n v="267.20999999999998"/>
    <n v="7"/>
    <n v="-9.5577000000000005"/>
  </r>
  <r>
    <d v="2016-09-30T00:00:00"/>
    <x v="2"/>
    <x v="8"/>
    <x v="5"/>
    <x v="5"/>
    <x v="0"/>
    <x v="2"/>
    <s v="Metal Bookcase"/>
    <n v="475.11"/>
    <n v="3"/>
    <n v="-183.4974"/>
  </r>
  <r>
    <d v="2016-10-03T00:00:00"/>
    <x v="2"/>
    <x v="9"/>
    <x v="5"/>
    <x v="9"/>
    <x v="2"/>
    <x v="6"/>
    <s v="Sketch Pad"/>
    <n v="1030.5899999999999"/>
    <n v="2"/>
    <n v="339.44799999999998"/>
  </r>
  <r>
    <d v="2016-10-03T00:00:00"/>
    <x v="2"/>
    <x v="9"/>
    <x v="9"/>
    <x v="1"/>
    <x v="0"/>
    <x v="2"/>
    <s v="Wood Bookcase"/>
    <n v="567.95000000000005"/>
    <n v="7"/>
    <n v="167.47309999999999"/>
  </r>
  <r>
    <d v="2016-10-03T00:00:00"/>
    <x v="2"/>
    <x v="9"/>
    <x v="4"/>
    <x v="2"/>
    <x v="2"/>
    <x v="11"/>
    <s v="Address Labels"/>
    <n v="1035.06"/>
    <n v="1"/>
    <n v="-150.1174"/>
  </r>
  <r>
    <d v="2016-10-04T00:00:00"/>
    <x v="2"/>
    <x v="9"/>
    <x v="0"/>
    <x v="0"/>
    <x v="0"/>
    <x v="5"/>
    <s v="Mesh Office Chair"/>
    <n v="93.53"/>
    <n v="1"/>
    <n v="-26.768699999999999"/>
  </r>
  <r>
    <d v="2016-10-04T00:00:00"/>
    <x v="2"/>
    <x v="9"/>
    <x v="8"/>
    <x v="0"/>
    <x v="0"/>
    <x v="0"/>
    <s v="Desk Lamp"/>
    <n v="134.57"/>
    <n v="9"/>
    <n v="23.755700000000001"/>
  </r>
  <r>
    <d v="2016-10-06T00:00:00"/>
    <x v="2"/>
    <x v="9"/>
    <x v="3"/>
    <x v="3"/>
    <x v="0"/>
    <x v="5"/>
    <s v="Mesh Office Chair"/>
    <n v="1193.23"/>
    <n v="2"/>
    <n v="58.6693"/>
  </r>
  <r>
    <d v="2016-10-08T00:00:00"/>
    <x v="2"/>
    <x v="9"/>
    <x v="3"/>
    <x v="5"/>
    <x v="2"/>
    <x v="4"/>
    <s v="Premium Paper"/>
    <n v="673.34"/>
    <n v="8"/>
    <n v="-155.9522"/>
  </r>
  <r>
    <d v="2016-10-08T00:00:00"/>
    <x v="2"/>
    <x v="9"/>
    <x v="2"/>
    <x v="2"/>
    <x v="2"/>
    <x v="3"/>
    <s v="View Binder"/>
    <n v="367.86"/>
    <n v="4"/>
    <n v="6.4828000000000001"/>
  </r>
  <r>
    <d v="2016-10-08T00:00:00"/>
    <x v="2"/>
    <x v="9"/>
    <x v="6"/>
    <x v="8"/>
    <x v="1"/>
    <x v="1"/>
    <s v="IP Phone"/>
    <n v="1160.92"/>
    <n v="1"/>
    <n v="-219.9162"/>
  </r>
  <r>
    <d v="2016-10-09T00:00:00"/>
    <x v="2"/>
    <x v="9"/>
    <x v="6"/>
    <x v="6"/>
    <x v="0"/>
    <x v="0"/>
    <s v="Office Clock"/>
    <n v="146.62"/>
    <n v="4"/>
    <n v="-37.694800000000001"/>
  </r>
  <r>
    <d v="2016-10-10T00:00:00"/>
    <x v="2"/>
    <x v="9"/>
    <x v="9"/>
    <x v="7"/>
    <x v="1"/>
    <x v="8"/>
    <s v="Mouse"/>
    <n v="571.14"/>
    <n v="10"/>
    <n v="-56.7087"/>
  </r>
  <r>
    <d v="2016-10-11T00:00:00"/>
    <x v="2"/>
    <x v="9"/>
    <x v="2"/>
    <x v="1"/>
    <x v="0"/>
    <x v="5"/>
    <s v="Mesh Office Chair"/>
    <n v="227.64"/>
    <n v="5"/>
    <n v="58.630400000000002"/>
  </r>
  <r>
    <d v="2016-10-11T00:00:00"/>
    <x v="2"/>
    <x v="9"/>
    <x v="4"/>
    <x v="1"/>
    <x v="2"/>
    <x v="3"/>
    <s v="View Binder"/>
    <n v="292.41000000000003"/>
    <n v="9"/>
    <n v="48.191800000000001"/>
  </r>
  <r>
    <d v="2016-10-11T00:00:00"/>
    <x v="2"/>
    <x v="9"/>
    <x v="4"/>
    <x v="9"/>
    <x v="2"/>
    <x v="7"/>
    <s v="Storage Box"/>
    <n v="635.1"/>
    <n v="9"/>
    <n v="-214.0429"/>
  </r>
  <r>
    <d v="2016-10-13T00:00:00"/>
    <x v="2"/>
    <x v="9"/>
    <x v="7"/>
    <x v="0"/>
    <x v="2"/>
    <x v="6"/>
    <s v="Marker Set"/>
    <n v="832.02"/>
    <n v="6"/>
    <n v="243.97559999999999"/>
  </r>
  <r>
    <d v="2016-10-14T00:00:00"/>
    <x v="2"/>
    <x v="9"/>
    <x v="7"/>
    <x v="8"/>
    <x v="0"/>
    <x v="5"/>
    <s v="Executive Chair"/>
    <n v="1000.24"/>
    <n v="5"/>
    <n v="181.8494"/>
  </r>
  <r>
    <d v="2016-10-14T00:00:00"/>
    <x v="2"/>
    <x v="9"/>
    <x v="9"/>
    <x v="5"/>
    <x v="2"/>
    <x v="11"/>
    <s v="Address Labels"/>
    <n v="1053.07"/>
    <n v="6"/>
    <n v="-64.311300000000003"/>
  </r>
  <r>
    <d v="2016-10-16T00:00:00"/>
    <x v="2"/>
    <x v="9"/>
    <x v="8"/>
    <x v="2"/>
    <x v="2"/>
    <x v="4"/>
    <s v="A4 Paper Pack"/>
    <n v="1095.83"/>
    <n v="3"/>
    <n v="-247.5027"/>
  </r>
  <r>
    <d v="2016-10-16T00:00:00"/>
    <x v="2"/>
    <x v="9"/>
    <x v="6"/>
    <x v="6"/>
    <x v="2"/>
    <x v="3"/>
    <s v="Ring Binder"/>
    <n v="242.38"/>
    <n v="4"/>
    <n v="44.469299999999997"/>
  </r>
  <r>
    <d v="2016-10-17T00:00:00"/>
    <x v="2"/>
    <x v="9"/>
    <x v="2"/>
    <x v="5"/>
    <x v="0"/>
    <x v="5"/>
    <s v="Ergo Chair"/>
    <n v="815.34"/>
    <n v="3"/>
    <n v="-92.153999999999996"/>
  </r>
  <r>
    <d v="2016-10-18T00:00:00"/>
    <x v="2"/>
    <x v="9"/>
    <x v="6"/>
    <x v="6"/>
    <x v="2"/>
    <x v="11"/>
    <s v="Address Labels"/>
    <n v="10.18"/>
    <n v="1"/>
    <n v="0.15190000000000001"/>
  </r>
  <r>
    <d v="2016-10-18T00:00:00"/>
    <x v="2"/>
    <x v="9"/>
    <x v="4"/>
    <x v="1"/>
    <x v="1"/>
    <x v="10"/>
    <s v="Laser Copier"/>
    <n v="625.08000000000004"/>
    <n v="3"/>
    <n v="-99.158100000000005"/>
  </r>
  <r>
    <d v="2016-10-19T00:00:00"/>
    <x v="2"/>
    <x v="9"/>
    <x v="1"/>
    <x v="0"/>
    <x v="2"/>
    <x v="3"/>
    <s v="View Binder"/>
    <n v="171.32"/>
    <n v="5"/>
    <n v="-37.430700000000002"/>
  </r>
  <r>
    <d v="2016-10-19T00:00:00"/>
    <x v="2"/>
    <x v="9"/>
    <x v="4"/>
    <x v="4"/>
    <x v="0"/>
    <x v="9"/>
    <s v="Round Table"/>
    <n v="259.48"/>
    <n v="8"/>
    <n v="-51.649000000000001"/>
  </r>
  <r>
    <d v="2016-10-20T00:00:00"/>
    <x v="2"/>
    <x v="9"/>
    <x v="1"/>
    <x v="0"/>
    <x v="2"/>
    <x v="3"/>
    <s v="Ring Binder"/>
    <n v="767.51"/>
    <n v="2"/>
    <n v="-2.9051"/>
  </r>
  <r>
    <d v="2016-10-20T00:00:00"/>
    <x v="2"/>
    <x v="9"/>
    <x v="2"/>
    <x v="9"/>
    <x v="0"/>
    <x v="9"/>
    <s v="Conference Table"/>
    <n v="114.22"/>
    <n v="10"/>
    <n v="-16.697099999999999"/>
  </r>
  <r>
    <d v="2016-10-21T00:00:00"/>
    <x v="2"/>
    <x v="9"/>
    <x v="8"/>
    <x v="0"/>
    <x v="1"/>
    <x v="1"/>
    <s v="Business Phone"/>
    <n v="189.12"/>
    <n v="6"/>
    <n v="55.360599999999998"/>
  </r>
  <r>
    <d v="2016-10-23T00:00:00"/>
    <x v="2"/>
    <x v="9"/>
    <x v="6"/>
    <x v="3"/>
    <x v="2"/>
    <x v="4"/>
    <s v="Premium Paper"/>
    <n v="185.28"/>
    <n v="1"/>
    <n v="-11.507300000000001"/>
  </r>
  <r>
    <d v="2016-10-23T00:00:00"/>
    <x v="2"/>
    <x v="9"/>
    <x v="9"/>
    <x v="9"/>
    <x v="1"/>
    <x v="8"/>
    <s v="USB Drive"/>
    <n v="334.67"/>
    <n v="1"/>
    <n v="23.2074"/>
  </r>
  <r>
    <d v="2016-10-24T00:00:00"/>
    <x v="2"/>
    <x v="9"/>
    <x v="9"/>
    <x v="9"/>
    <x v="2"/>
    <x v="11"/>
    <s v="Address Labels"/>
    <n v="1059.03"/>
    <n v="8"/>
    <n v="-292.07580000000002"/>
  </r>
  <r>
    <d v="2016-10-25T00:00:00"/>
    <x v="2"/>
    <x v="9"/>
    <x v="4"/>
    <x v="8"/>
    <x v="1"/>
    <x v="8"/>
    <s v="USB Drive"/>
    <n v="976.72"/>
    <n v="7"/>
    <n v="199.8621"/>
  </r>
  <r>
    <d v="2016-10-25T00:00:00"/>
    <x v="2"/>
    <x v="9"/>
    <x v="9"/>
    <x v="8"/>
    <x v="0"/>
    <x v="2"/>
    <s v="Wood Bookcase"/>
    <n v="809.62"/>
    <n v="1"/>
    <n v="-214.94739999999999"/>
  </r>
  <r>
    <d v="2016-10-25T00:00:00"/>
    <x v="2"/>
    <x v="9"/>
    <x v="5"/>
    <x v="9"/>
    <x v="0"/>
    <x v="0"/>
    <s v="Desk Lamp"/>
    <n v="1016.14"/>
    <n v="8"/>
    <n v="136.1773"/>
  </r>
  <r>
    <d v="2016-10-26T00:00:00"/>
    <x v="2"/>
    <x v="9"/>
    <x v="8"/>
    <x v="0"/>
    <x v="2"/>
    <x v="7"/>
    <s v="File Cart"/>
    <n v="1108.1099999999999"/>
    <n v="5"/>
    <n v="130.4443"/>
  </r>
  <r>
    <d v="2016-10-26T00:00:00"/>
    <x v="2"/>
    <x v="9"/>
    <x v="5"/>
    <x v="2"/>
    <x v="1"/>
    <x v="1"/>
    <s v="Business Phone"/>
    <n v="1076.75"/>
    <n v="2"/>
    <n v="100.88160000000001"/>
  </r>
  <r>
    <d v="2016-10-30T00:00:00"/>
    <x v="2"/>
    <x v="9"/>
    <x v="1"/>
    <x v="4"/>
    <x v="0"/>
    <x v="5"/>
    <s v="Executive Chair"/>
    <n v="206.94"/>
    <n v="6"/>
    <n v="27.591799999999999"/>
  </r>
  <r>
    <d v="2016-10-30T00:00:00"/>
    <x v="2"/>
    <x v="9"/>
    <x v="3"/>
    <x v="3"/>
    <x v="2"/>
    <x v="11"/>
    <s v="Shipping Labels"/>
    <n v="317.69"/>
    <n v="6"/>
    <n v="65.797200000000004"/>
  </r>
  <r>
    <d v="2016-11-01T00:00:00"/>
    <x v="2"/>
    <x v="10"/>
    <x v="3"/>
    <x v="4"/>
    <x v="0"/>
    <x v="0"/>
    <s v="Wall Frame"/>
    <n v="785.42"/>
    <n v="7"/>
    <n v="89.162800000000004"/>
  </r>
  <r>
    <d v="2016-11-01T00:00:00"/>
    <x v="2"/>
    <x v="10"/>
    <x v="9"/>
    <x v="0"/>
    <x v="1"/>
    <x v="1"/>
    <s v="IP Phone"/>
    <n v="164.55"/>
    <n v="7"/>
    <n v="-56.585000000000001"/>
  </r>
  <r>
    <d v="2016-11-05T00:00:00"/>
    <x v="2"/>
    <x v="10"/>
    <x v="2"/>
    <x v="6"/>
    <x v="2"/>
    <x v="11"/>
    <s v="Shipping Labels"/>
    <n v="324.27"/>
    <n v="1"/>
    <n v="-60.920900000000003"/>
  </r>
  <r>
    <d v="2016-11-06T00:00:00"/>
    <x v="2"/>
    <x v="10"/>
    <x v="2"/>
    <x v="8"/>
    <x v="2"/>
    <x v="4"/>
    <s v="A4 Paper Pack"/>
    <n v="128"/>
    <n v="2"/>
    <n v="-19.916499999999999"/>
  </r>
  <r>
    <d v="2016-11-07T00:00:00"/>
    <x v="2"/>
    <x v="10"/>
    <x v="8"/>
    <x v="3"/>
    <x v="2"/>
    <x v="7"/>
    <s v="Storage Box"/>
    <n v="987.97"/>
    <n v="10"/>
    <n v="264.94479999999999"/>
  </r>
  <r>
    <d v="2016-11-09T00:00:00"/>
    <x v="2"/>
    <x v="10"/>
    <x v="6"/>
    <x v="8"/>
    <x v="1"/>
    <x v="8"/>
    <s v="Mouse"/>
    <n v="641.15"/>
    <n v="10"/>
    <n v="-112.30200000000001"/>
  </r>
  <r>
    <d v="2016-11-11T00:00:00"/>
    <x v="2"/>
    <x v="10"/>
    <x v="7"/>
    <x v="9"/>
    <x v="0"/>
    <x v="5"/>
    <s v="Executive Chair"/>
    <n v="488.02"/>
    <n v="3"/>
    <n v="116.82170000000001"/>
  </r>
  <r>
    <d v="2016-11-12T00:00:00"/>
    <x v="2"/>
    <x v="10"/>
    <x v="0"/>
    <x v="6"/>
    <x v="0"/>
    <x v="2"/>
    <s v="Wood Bookcase"/>
    <n v="469.21"/>
    <n v="10"/>
    <n v="-139.16749999999999"/>
  </r>
  <r>
    <d v="2016-11-13T00:00:00"/>
    <x v="2"/>
    <x v="10"/>
    <x v="6"/>
    <x v="1"/>
    <x v="2"/>
    <x v="6"/>
    <s v="Sketch Pad"/>
    <n v="143.19999999999999"/>
    <n v="10"/>
    <n v="-36.865499999999997"/>
  </r>
  <r>
    <d v="2016-11-13T00:00:00"/>
    <x v="2"/>
    <x v="10"/>
    <x v="9"/>
    <x v="5"/>
    <x v="1"/>
    <x v="8"/>
    <s v="Mouse"/>
    <n v="669.81"/>
    <n v="10"/>
    <n v="-190.20189999999999"/>
  </r>
  <r>
    <d v="2016-11-20T00:00:00"/>
    <x v="2"/>
    <x v="10"/>
    <x v="6"/>
    <x v="9"/>
    <x v="0"/>
    <x v="9"/>
    <s v="Work Table"/>
    <n v="562.84"/>
    <n v="5"/>
    <n v="-15.181100000000001"/>
  </r>
  <r>
    <d v="2016-11-21T00:00:00"/>
    <x v="2"/>
    <x v="10"/>
    <x v="9"/>
    <x v="9"/>
    <x v="0"/>
    <x v="2"/>
    <s v="Wood Bookcase"/>
    <n v="727.13"/>
    <n v="2"/>
    <n v="94.384200000000007"/>
  </r>
  <r>
    <d v="2016-11-22T00:00:00"/>
    <x v="2"/>
    <x v="10"/>
    <x v="9"/>
    <x v="6"/>
    <x v="1"/>
    <x v="1"/>
    <s v="IP Phone"/>
    <n v="213.47"/>
    <n v="3"/>
    <n v="-32.395699999999998"/>
  </r>
  <r>
    <d v="2016-11-23T00:00:00"/>
    <x v="2"/>
    <x v="10"/>
    <x v="1"/>
    <x v="3"/>
    <x v="2"/>
    <x v="11"/>
    <s v="Shipping Labels"/>
    <n v="645.1"/>
    <n v="5"/>
    <n v="-137.92679999999999"/>
  </r>
  <r>
    <d v="2016-11-23T00:00:00"/>
    <x v="2"/>
    <x v="10"/>
    <x v="4"/>
    <x v="8"/>
    <x v="2"/>
    <x v="7"/>
    <s v="Storage Box"/>
    <n v="813.68"/>
    <n v="3"/>
    <n v="-200.25450000000001"/>
  </r>
  <r>
    <d v="2016-11-24T00:00:00"/>
    <x v="2"/>
    <x v="10"/>
    <x v="7"/>
    <x v="9"/>
    <x v="1"/>
    <x v="10"/>
    <s v="Office Copier"/>
    <n v="305.64999999999998"/>
    <n v="4"/>
    <n v="-3.8881999999999999"/>
  </r>
  <r>
    <d v="2016-11-24T00:00:00"/>
    <x v="2"/>
    <x v="10"/>
    <x v="3"/>
    <x v="6"/>
    <x v="0"/>
    <x v="2"/>
    <s v="Metal Bookcase"/>
    <n v="98.49"/>
    <n v="10"/>
    <n v="-32.862699999999997"/>
  </r>
  <r>
    <d v="2016-11-25T00:00:00"/>
    <x v="2"/>
    <x v="10"/>
    <x v="9"/>
    <x v="5"/>
    <x v="2"/>
    <x v="7"/>
    <s v="Storage Box"/>
    <n v="1132.6500000000001"/>
    <n v="2"/>
    <n v="-165.67529999999999"/>
  </r>
  <r>
    <d v="2016-11-27T00:00:00"/>
    <x v="2"/>
    <x v="10"/>
    <x v="9"/>
    <x v="1"/>
    <x v="2"/>
    <x v="6"/>
    <s v="Marker Set"/>
    <n v="562.57000000000005"/>
    <n v="6"/>
    <n v="-6.7831000000000001"/>
  </r>
  <r>
    <d v="2016-11-28T00:00:00"/>
    <x v="2"/>
    <x v="10"/>
    <x v="0"/>
    <x v="2"/>
    <x v="0"/>
    <x v="9"/>
    <s v="Work Table"/>
    <n v="783.55"/>
    <n v="5"/>
    <n v="-206.76560000000001"/>
  </r>
  <r>
    <d v="2016-11-30T00:00:00"/>
    <x v="2"/>
    <x v="10"/>
    <x v="6"/>
    <x v="2"/>
    <x v="2"/>
    <x v="7"/>
    <s v="File Cart"/>
    <n v="876.38"/>
    <n v="8"/>
    <n v="-26.836200000000002"/>
  </r>
  <r>
    <d v="2016-11-30T00:00:00"/>
    <x v="2"/>
    <x v="10"/>
    <x v="6"/>
    <x v="1"/>
    <x v="2"/>
    <x v="7"/>
    <s v="Storage Box"/>
    <n v="408.2"/>
    <n v="3"/>
    <n v="-67.372399999999999"/>
  </r>
  <r>
    <d v="2016-12-02T00:00:00"/>
    <x v="2"/>
    <x v="11"/>
    <x v="7"/>
    <x v="9"/>
    <x v="2"/>
    <x v="4"/>
    <s v="A4 Paper Pack"/>
    <n v="135.63"/>
    <n v="8"/>
    <n v="29.8735"/>
  </r>
  <r>
    <d v="2016-12-03T00:00:00"/>
    <x v="2"/>
    <x v="11"/>
    <x v="3"/>
    <x v="7"/>
    <x v="0"/>
    <x v="5"/>
    <s v="Executive Chair"/>
    <n v="365.45"/>
    <n v="1"/>
    <n v="-129.5085"/>
  </r>
  <r>
    <d v="2016-12-05T00:00:00"/>
    <x v="2"/>
    <x v="11"/>
    <x v="4"/>
    <x v="2"/>
    <x v="2"/>
    <x v="4"/>
    <s v="A4 Paper Pack"/>
    <n v="244.77"/>
    <n v="8"/>
    <n v="-70.785600000000002"/>
  </r>
  <r>
    <d v="2016-12-07T00:00:00"/>
    <x v="2"/>
    <x v="11"/>
    <x v="2"/>
    <x v="5"/>
    <x v="0"/>
    <x v="0"/>
    <s v="Office Clock"/>
    <n v="623.08000000000004"/>
    <n v="5"/>
    <n v="-171.20849999999999"/>
  </r>
  <r>
    <d v="2016-12-07T00:00:00"/>
    <x v="2"/>
    <x v="11"/>
    <x v="5"/>
    <x v="1"/>
    <x v="0"/>
    <x v="9"/>
    <s v="Round Table"/>
    <n v="552.75"/>
    <n v="9"/>
    <n v="-159.3494"/>
  </r>
  <r>
    <d v="2016-12-08T00:00:00"/>
    <x v="2"/>
    <x v="11"/>
    <x v="6"/>
    <x v="0"/>
    <x v="1"/>
    <x v="10"/>
    <s v="Laser Copier"/>
    <n v="769.54"/>
    <n v="9"/>
    <n v="-129.0934"/>
  </r>
  <r>
    <d v="2016-12-09T00:00:00"/>
    <x v="2"/>
    <x v="11"/>
    <x v="3"/>
    <x v="7"/>
    <x v="0"/>
    <x v="5"/>
    <s v="Mesh Office Chair"/>
    <n v="919.17"/>
    <n v="2"/>
    <n v="-296.02210000000002"/>
  </r>
  <r>
    <d v="2016-12-12T00:00:00"/>
    <x v="2"/>
    <x v="11"/>
    <x v="2"/>
    <x v="7"/>
    <x v="0"/>
    <x v="9"/>
    <s v="Round Table"/>
    <n v="1016.05"/>
    <n v="9"/>
    <n v="128.73220000000001"/>
  </r>
  <r>
    <d v="2016-12-13T00:00:00"/>
    <x v="2"/>
    <x v="11"/>
    <x v="2"/>
    <x v="2"/>
    <x v="1"/>
    <x v="1"/>
    <s v="IP Phone"/>
    <n v="1033.5"/>
    <n v="2"/>
    <n v="-123.82040000000001"/>
  </r>
  <r>
    <d v="2016-12-15T00:00:00"/>
    <x v="2"/>
    <x v="11"/>
    <x v="3"/>
    <x v="4"/>
    <x v="0"/>
    <x v="2"/>
    <s v="Metal Bookcase"/>
    <n v="499.44"/>
    <n v="4"/>
    <n v="60.867800000000003"/>
  </r>
  <r>
    <d v="2016-12-20T00:00:00"/>
    <x v="2"/>
    <x v="11"/>
    <x v="1"/>
    <x v="5"/>
    <x v="2"/>
    <x v="3"/>
    <s v="View Binder"/>
    <n v="432.13"/>
    <n v="10"/>
    <n v="151.11770000000001"/>
  </r>
  <r>
    <d v="2016-12-21T00:00:00"/>
    <x v="2"/>
    <x v="11"/>
    <x v="7"/>
    <x v="2"/>
    <x v="2"/>
    <x v="6"/>
    <s v="Sketch Pad"/>
    <n v="1011.08"/>
    <n v="8"/>
    <n v="-57.120600000000003"/>
  </r>
  <r>
    <d v="2016-12-22T00:00:00"/>
    <x v="2"/>
    <x v="11"/>
    <x v="2"/>
    <x v="6"/>
    <x v="1"/>
    <x v="10"/>
    <s v="Office Copier"/>
    <n v="614.39"/>
    <n v="6"/>
    <n v="-83.971900000000005"/>
  </r>
  <r>
    <d v="2016-12-23T00:00:00"/>
    <x v="2"/>
    <x v="11"/>
    <x v="9"/>
    <x v="5"/>
    <x v="0"/>
    <x v="0"/>
    <s v="Wall Frame"/>
    <n v="193.13"/>
    <n v="9"/>
    <n v="-65.648099999999999"/>
  </r>
  <r>
    <d v="2016-12-25T00:00:00"/>
    <x v="2"/>
    <x v="11"/>
    <x v="5"/>
    <x v="8"/>
    <x v="2"/>
    <x v="4"/>
    <s v="Premium Paper"/>
    <n v="458.24"/>
    <n v="4"/>
    <n v="-98.231099999999998"/>
  </r>
  <r>
    <d v="2016-12-26T00:00:00"/>
    <x v="2"/>
    <x v="11"/>
    <x v="5"/>
    <x v="3"/>
    <x v="0"/>
    <x v="2"/>
    <s v="Metal Bookcase"/>
    <n v="541.39"/>
    <n v="1"/>
    <n v="-57.444600000000001"/>
  </r>
  <r>
    <d v="2016-12-27T00:00:00"/>
    <x v="2"/>
    <x v="11"/>
    <x v="6"/>
    <x v="6"/>
    <x v="1"/>
    <x v="1"/>
    <s v="Business Phone"/>
    <n v="516.91"/>
    <n v="6"/>
    <n v="-180.0307"/>
  </r>
  <r>
    <d v="2016-12-28T00:00:00"/>
    <x v="2"/>
    <x v="11"/>
    <x v="2"/>
    <x v="6"/>
    <x v="0"/>
    <x v="9"/>
    <s v="Work Table"/>
    <n v="980.46"/>
    <n v="1"/>
    <n v="169.65610000000001"/>
  </r>
  <r>
    <d v="2016-12-28T00:00:00"/>
    <x v="2"/>
    <x v="11"/>
    <x v="2"/>
    <x v="9"/>
    <x v="2"/>
    <x v="4"/>
    <s v="A4 Paper Pack"/>
    <n v="365.36"/>
    <n v="1"/>
    <n v="-35.285800000000002"/>
  </r>
  <r>
    <d v="2016-12-29T00:00:00"/>
    <x v="2"/>
    <x v="11"/>
    <x v="6"/>
    <x v="8"/>
    <x v="1"/>
    <x v="8"/>
    <s v="USB Drive"/>
    <n v="290.81"/>
    <n v="8"/>
    <n v="80.839600000000004"/>
  </r>
  <r>
    <d v="2016-12-29T00:00:00"/>
    <x v="2"/>
    <x v="11"/>
    <x v="4"/>
    <x v="8"/>
    <x v="0"/>
    <x v="9"/>
    <s v="Round Table"/>
    <n v="677.88"/>
    <n v="5"/>
    <n v="-225.53989999999999"/>
  </r>
  <r>
    <d v="2016-12-30T00:00:00"/>
    <x v="2"/>
    <x v="11"/>
    <x v="0"/>
    <x v="1"/>
    <x v="0"/>
    <x v="5"/>
    <s v="Mesh Office Chair"/>
    <n v="1024.74"/>
    <n v="6"/>
    <n v="-348.06049999999999"/>
  </r>
  <r>
    <d v="2016-12-31T00:00:00"/>
    <x v="2"/>
    <x v="11"/>
    <x v="5"/>
    <x v="6"/>
    <x v="1"/>
    <x v="10"/>
    <s v="Office Copier"/>
    <n v="887.73"/>
    <n v="1"/>
    <n v="252.9341"/>
  </r>
  <r>
    <d v="2017-01-01T00:00:00"/>
    <x v="3"/>
    <x v="0"/>
    <x v="6"/>
    <x v="6"/>
    <x v="0"/>
    <x v="5"/>
    <s v="Mesh Office Chair"/>
    <n v="1056.76"/>
    <n v="7"/>
    <n v="-213.35720000000001"/>
  </r>
  <r>
    <d v="2017-01-02T00:00:00"/>
    <x v="3"/>
    <x v="0"/>
    <x v="6"/>
    <x v="0"/>
    <x v="0"/>
    <x v="5"/>
    <s v="Mesh Office Chair"/>
    <n v="24.64"/>
    <n v="9"/>
    <n v="0.77090000000000003"/>
  </r>
  <r>
    <d v="2017-01-05T00:00:00"/>
    <x v="3"/>
    <x v="0"/>
    <x v="6"/>
    <x v="9"/>
    <x v="2"/>
    <x v="4"/>
    <s v="Premium Paper"/>
    <n v="963.38"/>
    <n v="4"/>
    <n v="165.1182"/>
  </r>
  <r>
    <d v="2017-01-05T00:00:00"/>
    <x v="3"/>
    <x v="0"/>
    <x v="7"/>
    <x v="1"/>
    <x v="0"/>
    <x v="0"/>
    <s v="Wall Frame"/>
    <n v="833.65"/>
    <n v="3"/>
    <n v="13.4922"/>
  </r>
  <r>
    <d v="2017-01-05T00:00:00"/>
    <x v="3"/>
    <x v="0"/>
    <x v="5"/>
    <x v="5"/>
    <x v="1"/>
    <x v="10"/>
    <s v="Laser Copier"/>
    <n v="659.29"/>
    <n v="2"/>
    <n v="-113.0561"/>
  </r>
  <r>
    <d v="2017-01-07T00:00:00"/>
    <x v="3"/>
    <x v="0"/>
    <x v="7"/>
    <x v="4"/>
    <x v="1"/>
    <x v="10"/>
    <s v="Laser Copier"/>
    <n v="930.7"/>
    <n v="8"/>
    <n v="-68.238100000000003"/>
  </r>
  <r>
    <d v="2017-01-07T00:00:00"/>
    <x v="3"/>
    <x v="0"/>
    <x v="1"/>
    <x v="8"/>
    <x v="0"/>
    <x v="5"/>
    <s v="Ergo Chair"/>
    <n v="1020.09"/>
    <n v="2"/>
    <n v="338.5471"/>
  </r>
  <r>
    <d v="2017-01-10T00:00:00"/>
    <x v="3"/>
    <x v="0"/>
    <x v="4"/>
    <x v="3"/>
    <x v="0"/>
    <x v="2"/>
    <s v="Wood Bookcase"/>
    <n v="140.69999999999999"/>
    <n v="8"/>
    <n v="21.532"/>
  </r>
  <r>
    <d v="2017-01-12T00:00:00"/>
    <x v="3"/>
    <x v="0"/>
    <x v="0"/>
    <x v="4"/>
    <x v="1"/>
    <x v="1"/>
    <s v="Business Phone"/>
    <n v="401.42"/>
    <n v="3"/>
    <n v="77.423299999999998"/>
  </r>
  <r>
    <d v="2017-01-12T00:00:00"/>
    <x v="3"/>
    <x v="0"/>
    <x v="2"/>
    <x v="6"/>
    <x v="2"/>
    <x v="4"/>
    <s v="Premium Paper"/>
    <n v="535.16"/>
    <n v="3"/>
    <n v="-202.4272"/>
  </r>
  <r>
    <d v="2017-01-13T00:00:00"/>
    <x v="3"/>
    <x v="0"/>
    <x v="0"/>
    <x v="4"/>
    <x v="0"/>
    <x v="2"/>
    <s v="Wood Bookcase"/>
    <n v="43.61"/>
    <n v="8"/>
    <n v="-14.0921"/>
  </r>
  <r>
    <d v="2017-01-15T00:00:00"/>
    <x v="3"/>
    <x v="0"/>
    <x v="8"/>
    <x v="2"/>
    <x v="0"/>
    <x v="2"/>
    <s v="Metal Bookcase"/>
    <n v="988.02"/>
    <n v="1"/>
    <n v="167.9665"/>
  </r>
  <r>
    <d v="2017-01-17T00:00:00"/>
    <x v="3"/>
    <x v="0"/>
    <x v="1"/>
    <x v="5"/>
    <x v="2"/>
    <x v="6"/>
    <s v="Sketch Pad"/>
    <n v="570.71"/>
    <n v="1"/>
    <n v="94.149000000000001"/>
  </r>
  <r>
    <d v="2017-01-17T00:00:00"/>
    <x v="3"/>
    <x v="0"/>
    <x v="2"/>
    <x v="7"/>
    <x v="0"/>
    <x v="9"/>
    <s v="Work Table"/>
    <n v="646.76"/>
    <n v="2"/>
    <n v="-89.219099999999997"/>
  </r>
  <r>
    <d v="2017-01-17T00:00:00"/>
    <x v="3"/>
    <x v="0"/>
    <x v="0"/>
    <x v="3"/>
    <x v="1"/>
    <x v="10"/>
    <s v="Office Copier"/>
    <n v="1095.3"/>
    <n v="1"/>
    <n v="194.47829999999999"/>
  </r>
  <r>
    <d v="2017-01-18T00:00:00"/>
    <x v="3"/>
    <x v="0"/>
    <x v="0"/>
    <x v="5"/>
    <x v="2"/>
    <x v="11"/>
    <s v="Shipping Labels"/>
    <n v="969.91"/>
    <n v="10"/>
    <n v="254.14279999999999"/>
  </r>
  <r>
    <d v="2017-01-22T00:00:00"/>
    <x v="3"/>
    <x v="0"/>
    <x v="7"/>
    <x v="2"/>
    <x v="1"/>
    <x v="1"/>
    <s v="Business Phone"/>
    <n v="351.16"/>
    <n v="5"/>
    <n v="-13.270799999999999"/>
  </r>
  <r>
    <d v="2017-01-24T00:00:00"/>
    <x v="3"/>
    <x v="0"/>
    <x v="3"/>
    <x v="3"/>
    <x v="1"/>
    <x v="10"/>
    <s v="Laser Copier"/>
    <n v="887.45"/>
    <n v="4"/>
    <n v="161.61359999999999"/>
  </r>
  <r>
    <d v="2017-01-26T00:00:00"/>
    <x v="3"/>
    <x v="0"/>
    <x v="1"/>
    <x v="5"/>
    <x v="2"/>
    <x v="6"/>
    <s v="Sketch Pad"/>
    <n v="628.77"/>
    <n v="2"/>
    <n v="-229.92009999999999"/>
  </r>
  <r>
    <d v="2017-01-27T00:00:00"/>
    <x v="3"/>
    <x v="0"/>
    <x v="9"/>
    <x v="6"/>
    <x v="2"/>
    <x v="4"/>
    <s v="A4 Paper Pack"/>
    <n v="482.03"/>
    <n v="2"/>
    <n v="-48.735500000000002"/>
  </r>
  <r>
    <d v="2017-01-31T00:00:00"/>
    <x v="3"/>
    <x v="0"/>
    <x v="6"/>
    <x v="3"/>
    <x v="1"/>
    <x v="10"/>
    <s v="Office Copier"/>
    <n v="37.159999999999997"/>
    <n v="8"/>
    <n v="11.416700000000001"/>
  </r>
  <r>
    <d v="2017-01-31T00:00:00"/>
    <x v="3"/>
    <x v="0"/>
    <x v="3"/>
    <x v="1"/>
    <x v="0"/>
    <x v="9"/>
    <s v="Conference Table"/>
    <n v="484.86"/>
    <n v="6"/>
    <n v="45.164200000000001"/>
  </r>
  <r>
    <d v="2017-01-31T00:00:00"/>
    <x v="3"/>
    <x v="0"/>
    <x v="4"/>
    <x v="2"/>
    <x v="2"/>
    <x v="6"/>
    <s v="Sketch Pad"/>
    <n v="1189.8"/>
    <n v="6"/>
    <n v="277.9855"/>
  </r>
  <r>
    <d v="2017-02-01T00:00:00"/>
    <x v="3"/>
    <x v="1"/>
    <x v="0"/>
    <x v="4"/>
    <x v="0"/>
    <x v="2"/>
    <s v="Metal Bookcase"/>
    <n v="215.3"/>
    <n v="1"/>
    <n v="69.507499999999993"/>
  </r>
  <r>
    <d v="2017-02-02T00:00:00"/>
    <x v="3"/>
    <x v="1"/>
    <x v="6"/>
    <x v="3"/>
    <x v="1"/>
    <x v="1"/>
    <s v="Business Phone"/>
    <n v="21.34"/>
    <n v="7"/>
    <n v="-7.0442"/>
  </r>
  <r>
    <d v="2017-02-02T00:00:00"/>
    <x v="3"/>
    <x v="1"/>
    <x v="4"/>
    <x v="8"/>
    <x v="0"/>
    <x v="2"/>
    <s v="Wood Bookcase"/>
    <n v="332.97"/>
    <n v="5"/>
    <n v="20.2516"/>
  </r>
  <r>
    <d v="2017-02-02T00:00:00"/>
    <x v="3"/>
    <x v="1"/>
    <x v="8"/>
    <x v="0"/>
    <x v="0"/>
    <x v="9"/>
    <s v="Round Table"/>
    <n v="144.66999999999999"/>
    <n v="1"/>
    <n v="-14.290100000000001"/>
  </r>
  <r>
    <d v="2017-02-02T00:00:00"/>
    <x v="3"/>
    <x v="1"/>
    <x v="4"/>
    <x v="1"/>
    <x v="2"/>
    <x v="4"/>
    <s v="A4 Paper Pack"/>
    <n v="96.46"/>
    <n v="1"/>
    <n v="-1.4410000000000001"/>
  </r>
  <r>
    <d v="2017-02-03T00:00:00"/>
    <x v="3"/>
    <x v="1"/>
    <x v="4"/>
    <x v="2"/>
    <x v="2"/>
    <x v="3"/>
    <s v="Ring Binder"/>
    <n v="866.4"/>
    <n v="4"/>
    <n v="-67.1006"/>
  </r>
  <r>
    <d v="2017-02-03T00:00:00"/>
    <x v="3"/>
    <x v="1"/>
    <x v="6"/>
    <x v="0"/>
    <x v="0"/>
    <x v="0"/>
    <s v="Wall Frame"/>
    <n v="422.96"/>
    <n v="3"/>
    <n v="96.536500000000004"/>
  </r>
  <r>
    <d v="2017-02-03T00:00:00"/>
    <x v="3"/>
    <x v="1"/>
    <x v="8"/>
    <x v="7"/>
    <x v="2"/>
    <x v="7"/>
    <s v="File Cart"/>
    <n v="189.19"/>
    <n v="5"/>
    <n v="-29.901499999999999"/>
  </r>
  <r>
    <d v="2017-02-04T00:00:00"/>
    <x v="3"/>
    <x v="1"/>
    <x v="5"/>
    <x v="1"/>
    <x v="2"/>
    <x v="11"/>
    <s v="Shipping Labels"/>
    <n v="69.290000000000006"/>
    <n v="5"/>
    <n v="-17.162099999999999"/>
  </r>
  <r>
    <d v="2017-02-04T00:00:00"/>
    <x v="3"/>
    <x v="1"/>
    <x v="6"/>
    <x v="4"/>
    <x v="2"/>
    <x v="4"/>
    <s v="Premium Paper"/>
    <n v="984.99"/>
    <n v="7"/>
    <n v="-131.5154"/>
  </r>
  <r>
    <d v="2017-02-07T00:00:00"/>
    <x v="3"/>
    <x v="1"/>
    <x v="4"/>
    <x v="4"/>
    <x v="2"/>
    <x v="3"/>
    <s v="Ring Binder"/>
    <n v="354.1"/>
    <n v="3"/>
    <n v="27.7622"/>
  </r>
  <r>
    <d v="2017-02-07T00:00:00"/>
    <x v="3"/>
    <x v="1"/>
    <x v="2"/>
    <x v="3"/>
    <x v="2"/>
    <x v="3"/>
    <s v="Ring Binder"/>
    <n v="723.19"/>
    <n v="10"/>
    <n v="-134.7371"/>
  </r>
  <r>
    <d v="2017-02-07T00:00:00"/>
    <x v="3"/>
    <x v="1"/>
    <x v="9"/>
    <x v="7"/>
    <x v="2"/>
    <x v="4"/>
    <s v="A4 Paper Pack"/>
    <n v="77.88"/>
    <n v="7"/>
    <n v="16.651"/>
  </r>
  <r>
    <d v="2017-02-07T00:00:00"/>
    <x v="3"/>
    <x v="1"/>
    <x v="5"/>
    <x v="7"/>
    <x v="2"/>
    <x v="11"/>
    <s v="Shipping Labels"/>
    <n v="1048.8900000000001"/>
    <n v="6"/>
    <n v="295.70639999999997"/>
  </r>
  <r>
    <d v="2017-02-08T00:00:00"/>
    <x v="3"/>
    <x v="1"/>
    <x v="8"/>
    <x v="9"/>
    <x v="0"/>
    <x v="9"/>
    <s v="Work Table"/>
    <n v="867.84"/>
    <n v="9"/>
    <n v="-174.48050000000001"/>
  </r>
  <r>
    <d v="2017-02-09T00:00:00"/>
    <x v="3"/>
    <x v="1"/>
    <x v="3"/>
    <x v="8"/>
    <x v="1"/>
    <x v="1"/>
    <s v="IP Phone"/>
    <n v="52"/>
    <n v="7"/>
    <n v="4.9686000000000003"/>
  </r>
  <r>
    <d v="2017-02-10T00:00:00"/>
    <x v="3"/>
    <x v="1"/>
    <x v="8"/>
    <x v="2"/>
    <x v="1"/>
    <x v="8"/>
    <s v="Keyboard"/>
    <n v="121.7"/>
    <n v="8"/>
    <n v="-32.599699999999999"/>
  </r>
  <r>
    <d v="2017-02-11T00:00:00"/>
    <x v="3"/>
    <x v="1"/>
    <x v="8"/>
    <x v="3"/>
    <x v="1"/>
    <x v="8"/>
    <s v="Keyboard"/>
    <n v="911.01"/>
    <n v="8"/>
    <n v="76.914000000000001"/>
  </r>
  <r>
    <d v="2017-02-11T00:00:00"/>
    <x v="3"/>
    <x v="1"/>
    <x v="5"/>
    <x v="7"/>
    <x v="2"/>
    <x v="4"/>
    <s v="Premium Paper"/>
    <n v="645.38"/>
    <n v="4"/>
    <n v="21.328700000000001"/>
  </r>
  <r>
    <d v="2017-02-14T00:00:00"/>
    <x v="3"/>
    <x v="1"/>
    <x v="1"/>
    <x v="4"/>
    <x v="2"/>
    <x v="11"/>
    <s v="Shipping Labels"/>
    <n v="267.44"/>
    <n v="6"/>
    <n v="62.083199999999998"/>
  </r>
  <r>
    <d v="2017-02-14T00:00:00"/>
    <x v="3"/>
    <x v="1"/>
    <x v="3"/>
    <x v="0"/>
    <x v="0"/>
    <x v="5"/>
    <s v="Ergo Chair"/>
    <n v="793"/>
    <n v="5"/>
    <n v="208.97550000000001"/>
  </r>
  <r>
    <d v="2017-02-15T00:00:00"/>
    <x v="3"/>
    <x v="1"/>
    <x v="5"/>
    <x v="3"/>
    <x v="1"/>
    <x v="8"/>
    <s v="Mouse"/>
    <n v="985.05"/>
    <n v="4"/>
    <n v="-357.87939999999998"/>
  </r>
  <r>
    <d v="2017-02-16T00:00:00"/>
    <x v="3"/>
    <x v="1"/>
    <x v="6"/>
    <x v="8"/>
    <x v="0"/>
    <x v="9"/>
    <s v="Conference Table"/>
    <n v="918.51"/>
    <n v="10"/>
    <n v="43.257399999999997"/>
  </r>
  <r>
    <d v="2017-02-16T00:00:00"/>
    <x v="3"/>
    <x v="1"/>
    <x v="8"/>
    <x v="0"/>
    <x v="1"/>
    <x v="1"/>
    <s v="Business Phone"/>
    <n v="893.46"/>
    <n v="7"/>
    <n v="193.45189999999999"/>
  </r>
  <r>
    <d v="2017-02-19T00:00:00"/>
    <x v="3"/>
    <x v="1"/>
    <x v="8"/>
    <x v="6"/>
    <x v="1"/>
    <x v="8"/>
    <s v="Mouse"/>
    <n v="1098.44"/>
    <n v="6"/>
    <n v="-153.1156"/>
  </r>
  <r>
    <d v="2017-02-20T00:00:00"/>
    <x v="3"/>
    <x v="1"/>
    <x v="5"/>
    <x v="9"/>
    <x v="1"/>
    <x v="1"/>
    <s v="IP Phone"/>
    <n v="985.8"/>
    <n v="6"/>
    <n v="-313.21449999999999"/>
  </r>
  <r>
    <d v="2017-02-24T00:00:00"/>
    <x v="3"/>
    <x v="1"/>
    <x v="7"/>
    <x v="0"/>
    <x v="1"/>
    <x v="8"/>
    <s v="USB Drive"/>
    <n v="833.8"/>
    <n v="10"/>
    <n v="158.62530000000001"/>
  </r>
  <r>
    <d v="2017-02-25T00:00:00"/>
    <x v="3"/>
    <x v="1"/>
    <x v="3"/>
    <x v="8"/>
    <x v="2"/>
    <x v="7"/>
    <s v="Storage Box"/>
    <n v="850.03"/>
    <n v="6"/>
    <n v="283.49939999999998"/>
  </r>
  <r>
    <d v="2017-02-27T00:00:00"/>
    <x v="3"/>
    <x v="1"/>
    <x v="9"/>
    <x v="2"/>
    <x v="0"/>
    <x v="2"/>
    <s v="Wood Bookcase"/>
    <n v="1138.3"/>
    <n v="8"/>
    <n v="7.5053000000000001"/>
  </r>
  <r>
    <d v="2017-02-27T00:00:00"/>
    <x v="3"/>
    <x v="1"/>
    <x v="4"/>
    <x v="2"/>
    <x v="2"/>
    <x v="11"/>
    <s v="Shipping Labels"/>
    <n v="582.94000000000005"/>
    <n v="4"/>
    <n v="97.995099999999994"/>
  </r>
  <r>
    <d v="2017-02-28T00:00:00"/>
    <x v="3"/>
    <x v="1"/>
    <x v="8"/>
    <x v="4"/>
    <x v="1"/>
    <x v="8"/>
    <s v="Keyboard"/>
    <n v="913.05"/>
    <n v="8"/>
    <n v="101.21169999999999"/>
  </r>
  <r>
    <d v="2017-02-28T00:00:00"/>
    <x v="3"/>
    <x v="1"/>
    <x v="5"/>
    <x v="2"/>
    <x v="1"/>
    <x v="8"/>
    <s v="Mouse"/>
    <n v="316.23"/>
    <n v="8"/>
    <n v="10.6272"/>
  </r>
  <r>
    <d v="2017-03-03T00:00:00"/>
    <x v="3"/>
    <x v="2"/>
    <x v="7"/>
    <x v="0"/>
    <x v="2"/>
    <x v="7"/>
    <s v="Storage Box"/>
    <n v="41.88"/>
    <n v="4"/>
    <n v="-7.5774999999999997"/>
  </r>
  <r>
    <d v="2017-03-03T00:00:00"/>
    <x v="3"/>
    <x v="2"/>
    <x v="9"/>
    <x v="8"/>
    <x v="2"/>
    <x v="6"/>
    <s v="Marker Set"/>
    <n v="875.61"/>
    <n v="8"/>
    <n v="-127.8274"/>
  </r>
  <r>
    <d v="2017-03-04T00:00:00"/>
    <x v="3"/>
    <x v="2"/>
    <x v="2"/>
    <x v="6"/>
    <x v="2"/>
    <x v="11"/>
    <s v="Shipping Labels"/>
    <n v="1172.9100000000001"/>
    <n v="2"/>
    <n v="317.96820000000002"/>
  </r>
  <r>
    <d v="2017-03-05T00:00:00"/>
    <x v="3"/>
    <x v="2"/>
    <x v="0"/>
    <x v="9"/>
    <x v="1"/>
    <x v="10"/>
    <s v="Office Copier"/>
    <n v="1023.64"/>
    <n v="6"/>
    <n v="277.01339999999999"/>
  </r>
  <r>
    <d v="2017-03-07T00:00:00"/>
    <x v="3"/>
    <x v="2"/>
    <x v="2"/>
    <x v="5"/>
    <x v="1"/>
    <x v="10"/>
    <s v="Laser Copier"/>
    <n v="736.77"/>
    <n v="10"/>
    <n v="-166.4092"/>
  </r>
  <r>
    <d v="2017-03-07T00:00:00"/>
    <x v="3"/>
    <x v="2"/>
    <x v="5"/>
    <x v="1"/>
    <x v="1"/>
    <x v="8"/>
    <s v="USB Drive"/>
    <n v="644.69000000000005"/>
    <n v="6"/>
    <n v="-96.652100000000004"/>
  </r>
  <r>
    <d v="2017-03-08T00:00:00"/>
    <x v="3"/>
    <x v="2"/>
    <x v="2"/>
    <x v="5"/>
    <x v="1"/>
    <x v="8"/>
    <s v="Keyboard"/>
    <n v="810.91"/>
    <n v="4"/>
    <n v="-217.6311"/>
  </r>
  <r>
    <d v="2017-03-09T00:00:00"/>
    <x v="3"/>
    <x v="2"/>
    <x v="4"/>
    <x v="2"/>
    <x v="2"/>
    <x v="3"/>
    <s v="Ring Binder"/>
    <n v="582.51"/>
    <n v="6"/>
    <n v="-183.56450000000001"/>
  </r>
  <r>
    <d v="2017-03-09T00:00:00"/>
    <x v="3"/>
    <x v="2"/>
    <x v="6"/>
    <x v="6"/>
    <x v="0"/>
    <x v="9"/>
    <s v="Work Table"/>
    <n v="491.06"/>
    <n v="2"/>
    <n v="115.2559"/>
  </r>
  <r>
    <d v="2017-03-10T00:00:00"/>
    <x v="3"/>
    <x v="2"/>
    <x v="5"/>
    <x v="9"/>
    <x v="2"/>
    <x v="7"/>
    <s v="File Cart"/>
    <n v="507.93"/>
    <n v="9"/>
    <n v="56.993099999999998"/>
  </r>
  <r>
    <d v="2017-03-10T00:00:00"/>
    <x v="3"/>
    <x v="2"/>
    <x v="4"/>
    <x v="1"/>
    <x v="2"/>
    <x v="3"/>
    <s v="View Binder"/>
    <n v="976.33"/>
    <n v="6"/>
    <n v="-203.91130000000001"/>
  </r>
  <r>
    <d v="2017-03-11T00:00:00"/>
    <x v="3"/>
    <x v="2"/>
    <x v="5"/>
    <x v="9"/>
    <x v="0"/>
    <x v="0"/>
    <s v="Office Clock"/>
    <n v="159.54"/>
    <n v="1"/>
    <n v="32.0944"/>
  </r>
  <r>
    <d v="2017-03-18T00:00:00"/>
    <x v="3"/>
    <x v="2"/>
    <x v="6"/>
    <x v="1"/>
    <x v="0"/>
    <x v="9"/>
    <s v="Conference Table"/>
    <n v="1138.1099999999999"/>
    <n v="2"/>
    <n v="-292.3938"/>
  </r>
  <r>
    <d v="2017-03-20T00:00:00"/>
    <x v="3"/>
    <x v="2"/>
    <x v="3"/>
    <x v="6"/>
    <x v="2"/>
    <x v="4"/>
    <s v="Premium Paper"/>
    <n v="488.29"/>
    <n v="7"/>
    <n v="-89.290499999999994"/>
  </r>
  <r>
    <d v="2017-03-22T00:00:00"/>
    <x v="3"/>
    <x v="2"/>
    <x v="3"/>
    <x v="9"/>
    <x v="1"/>
    <x v="8"/>
    <s v="Keyboard"/>
    <n v="1043.18"/>
    <n v="8"/>
    <n v="-274.19580000000002"/>
  </r>
  <r>
    <d v="2017-03-24T00:00:00"/>
    <x v="3"/>
    <x v="2"/>
    <x v="6"/>
    <x v="8"/>
    <x v="0"/>
    <x v="5"/>
    <s v="Ergo Chair"/>
    <n v="706.61"/>
    <n v="1"/>
    <n v="247.08690000000001"/>
  </r>
  <r>
    <d v="2017-03-27T00:00:00"/>
    <x v="3"/>
    <x v="2"/>
    <x v="6"/>
    <x v="5"/>
    <x v="0"/>
    <x v="5"/>
    <s v="Ergo Chair"/>
    <n v="321.26"/>
    <n v="4"/>
    <n v="56.290900000000001"/>
  </r>
  <r>
    <d v="2017-03-28T00:00:00"/>
    <x v="3"/>
    <x v="2"/>
    <x v="3"/>
    <x v="7"/>
    <x v="0"/>
    <x v="2"/>
    <s v="Wood Bookcase"/>
    <n v="1049.1300000000001"/>
    <n v="5"/>
    <n v="322.62369999999999"/>
  </r>
  <r>
    <d v="2017-03-30T00:00:00"/>
    <x v="3"/>
    <x v="2"/>
    <x v="7"/>
    <x v="2"/>
    <x v="2"/>
    <x v="4"/>
    <s v="A4 Paper Pack"/>
    <n v="212.51"/>
    <n v="3"/>
    <n v="-68.499300000000005"/>
  </r>
  <r>
    <d v="2017-03-30T00:00:00"/>
    <x v="3"/>
    <x v="2"/>
    <x v="4"/>
    <x v="2"/>
    <x v="0"/>
    <x v="5"/>
    <s v="Ergo Chair"/>
    <n v="917.08"/>
    <n v="9"/>
    <n v="-217.57859999999999"/>
  </r>
  <r>
    <d v="2017-04-01T00:00:00"/>
    <x v="3"/>
    <x v="3"/>
    <x v="7"/>
    <x v="3"/>
    <x v="0"/>
    <x v="2"/>
    <s v="Metal Bookcase"/>
    <n v="270.77999999999997"/>
    <n v="10"/>
    <n v="83.857699999999994"/>
  </r>
  <r>
    <d v="2017-04-02T00:00:00"/>
    <x v="3"/>
    <x v="3"/>
    <x v="5"/>
    <x v="8"/>
    <x v="2"/>
    <x v="7"/>
    <s v="File Cart"/>
    <n v="729.96"/>
    <n v="6"/>
    <n v="-37.416899999999998"/>
  </r>
  <r>
    <d v="2017-04-04T00:00:00"/>
    <x v="3"/>
    <x v="3"/>
    <x v="8"/>
    <x v="8"/>
    <x v="0"/>
    <x v="9"/>
    <s v="Round Table"/>
    <n v="587.19000000000005"/>
    <n v="6"/>
    <n v="-77.594899999999996"/>
  </r>
  <r>
    <d v="2017-04-06T00:00:00"/>
    <x v="3"/>
    <x v="3"/>
    <x v="6"/>
    <x v="5"/>
    <x v="2"/>
    <x v="6"/>
    <s v="Marker Set"/>
    <n v="680.89"/>
    <n v="9"/>
    <n v="158.90049999999999"/>
  </r>
  <r>
    <d v="2017-04-09T00:00:00"/>
    <x v="3"/>
    <x v="3"/>
    <x v="0"/>
    <x v="1"/>
    <x v="2"/>
    <x v="11"/>
    <s v="Address Labels"/>
    <n v="851.14"/>
    <n v="10"/>
    <n v="180.4511"/>
  </r>
  <r>
    <d v="2017-04-10T00:00:00"/>
    <x v="3"/>
    <x v="3"/>
    <x v="4"/>
    <x v="7"/>
    <x v="2"/>
    <x v="4"/>
    <s v="Premium Paper"/>
    <n v="482.28"/>
    <n v="4"/>
    <n v="167.83070000000001"/>
  </r>
  <r>
    <d v="2017-04-10T00:00:00"/>
    <x v="3"/>
    <x v="3"/>
    <x v="6"/>
    <x v="5"/>
    <x v="1"/>
    <x v="1"/>
    <s v="Business Phone"/>
    <n v="680.45"/>
    <n v="6"/>
    <n v="204.8357"/>
  </r>
  <r>
    <d v="2017-04-10T00:00:00"/>
    <x v="3"/>
    <x v="3"/>
    <x v="5"/>
    <x v="9"/>
    <x v="2"/>
    <x v="3"/>
    <s v="View Binder"/>
    <n v="372.68"/>
    <n v="1"/>
    <n v="17.770199999999999"/>
  </r>
  <r>
    <d v="2017-04-10T00:00:00"/>
    <x v="3"/>
    <x v="3"/>
    <x v="0"/>
    <x v="2"/>
    <x v="1"/>
    <x v="1"/>
    <s v="IP Phone"/>
    <n v="579.14"/>
    <n v="9"/>
    <n v="41.564300000000003"/>
  </r>
  <r>
    <d v="2017-04-10T00:00:00"/>
    <x v="3"/>
    <x v="3"/>
    <x v="0"/>
    <x v="4"/>
    <x v="1"/>
    <x v="8"/>
    <s v="Mouse"/>
    <n v="34.17"/>
    <n v="8"/>
    <n v="-1.7829999999999999"/>
  </r>
  <r>
    <d v="2017-04-10T00:00:00"/>
    <x v="3"/>
    <x v="3"/>
    <x v="0"/>
    <x v="0"/>
    <x v="1"/>
    <x v="8"/>
    <s v="USB Drive"/>
    <n v="54.17"/>
    <n v="9"/>
    <n v="3.5668000000000002"/>
  </r>
  <r>
    <d v="2017-04-14T00:00:00"/>
    <x v="3"/>
    <x v="3"/>
    <x v="9"/>
    <x v="7"/>
    <x v="2"/>
    <x v="11"/>
    <s v="Address Labels"/>
    <n v="794.5"/>
    <n v="2"/>
    <n v="142.31530000000001"/>
  </r>
  <r>
    <d v="2017-04-14T00:00:00"/>
    <x v="3"/>
    <x v="3"/>
    <x v="8"/>
    <x v="7"/>
    <x v="0"/>
    <x v="5"/>
    <s v="Executive Chair"/>
    <n v="59.39"/>
    <n v="2"/>
    <n v="-7.8231000000000002"/>
  </r>
  <r>
    <d v="2017-04-15T00:00:00"/>
    <x v="3"/>
    <x v="3"/>
    <x v="0"/>
    <x v="1"/>
    <x v="2"/>
    <x v="11"/>
    <s v="Shipping Labels"/>
    <n v="244.37"/>
    <n v="1"/>
    <n v="37.3138999999999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Andrew Allen"/>
  </r>
  <r>
    <x v="0"/>
    <s v="Brosina Hoffman"/>
  </r>
  <r>
    <x v="0"/>
    <s v="Sean O'Donnell"/>
  </r>
  <r>
    <x v="0"/>
    <s v="Ken Black"/>
  </r>
  <r>
    <x v="0"/>
    <s v="Tracy Blumstein"/>
  </r>
  <r>
    <x v="0"/>
    <s v="Claire Gute"/>
  </r>
  <r>
    <x v="0"/>
    <s v="Eric Hoffmann"/>
  </r>
  <r>
    <x v="0"/>
    <s v="Harold Pawlan"/>
  </r>
  <r>
    <x v="0"/>
    <s v="Darrin Van Huff"/>
  </r>
  <r>
    <x v="0"/>
    <s v="Irene Maddox"/>
  </r>
  <r>
    <x v="1"/>
    <s v="Tracy Blumstein"/>
  </r>
  <r>
    <x v="1"/>
    <s v="Andrew Allen"/>
  </r>
  <r>
    <x v="1"/>
    <s v="Harold Pawlan"/>
  </r>
  <r>
    <x v="1"/>
    <s v="Eric Hoffmann"/>
  </r>
  <r>
    <x v="1"/>
    <s v="Irene Maddox"/>
  </r>
  <r>
    <x v="1"/>
    <s v="Brosina Hoffman"/>
  </r>
  <r>
    <x v="1"/>
    <s v="Claire Gute"/>
  </r>
  <r>
    <x v="1"/>
    <s v="Ken Black"/>
  </r>
  <r>
    <x v="1"/>
    <s v="Sean O'Donnell"/>
  </r>
  <r>
    <x v="1"/>
    <s v="Darrin Van Huff"/>
  </r>
  <r>
    <x v="2"/>
    <s v="Irene Maddox"/>
  </r>
  <r>
    <x v="2"/>
    <s v="Ken Black"/>
  </r>
  <r>
    <x v="2"/>
    <s v="Harold Pawlan"/>
  </r>
  <r>
    <x v="2"/>
    <s v="Eric Hoffmann"/>
  </r>
  <r>
    <x v="2"/>
    <s v="Tracy Blumstein"/>
  </r>
  <r>
    <x v="2"/>
    <s v="Darrin Van Huff"/>
  </r>
  <r>
    <x v="2"/>
    <s v="Claire Gute"/>
  </r>
  <r>
    <x v="2"/>
    <s v="Brosina Hoffman"/>
  </r>
  <r>
    <x v="2"/>
    <s v="Sean O'Donnell"/>
  </r>
  <r>
    <x v="2"/>
    <s v="Andrew Allen"/>
  </r>
  <r>
    <x v="3"/>
    <s v="Eric Hoffmann"/>
  </r>
  <r>
    <x v="3"/>
    <s v="Harold Pawlan"/>
  </r>
  <r>
    <x v="3"/>
    <s v="Claire Gute"/>
  </r>
  <r>
    <x v="3"/>
    <s v="Brosina Hoffman"/>
  </r>
  <r>
    <x v="3"/>
    <s v="Tracy Blumstein"/>
  </r>
  <r>
    <x v="3"/>
    <s v="Andrew Allen"/>
  </r>
  <r>
    <x v="3"/>
    <s v="Sean O'Donnell"/>
  </r>
  <r>
    <x v="3"/>
    <s v="Darrin Van Huff"/>
  </r>
  <r>
    <x v="3"/>
    <s v="Ken Black"/>
  </r>
  <r>
    <x v="3"/>
    <s v="Irene Maddo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0FE93-900F-4011-9EB2-83C351D4491A}" name="PivotTable1"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11">
    <pivotField numFmtId="164" showAll="0"/>
    <pivotField numFmtId="1" showAll="0">
      <items count="5">
        <item x="0"/>
        <item x="1"/>
        <item x="2"/>
        <item x="3"/>
        <item t="default"/>
      </items>
    </pivotField>
    <pivotField numFmtId="1" showAll="0"/>
    <pivotField showAll="0"/>
    <pivotField showAll="0"/>
    <pivotField showAll="0">
      <items count="4">
        <item x="0"/>
        <item x="2"/>
        <item x="1"/>
        <item t="default"/>
      </items>
    </pivotField>
    <pivotField axis="axisRow" showAll="0" sortType="descending">
      <items count="13">
        <item x="8"/>
        <item x="6"/>
        <item x="3"/>
        <item x="2"/>
        <item x="5"/>
        <item x="10"/>
        <item x="0"/>
        <item x="11"/>
        <item x="4"/>
        <item x="1"/>
        <item x="7"/>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3">
    <i>
      <x/>
    </i>
    <i>
      <x v="9"/>
    </i>
    <i>
      <x v="5"/>
    </i>
    <i>
      <x v="4"/>
    </i>
    <i>
      <x v="3"/>
    </i>
    <i>
      <x v="11"/>
    </i>
    <i>
      <x v="6"/>
    </i>
    <i>
      <x v="1"/>
    </i>
    <i>
      <x v="7"/>
    </i>
    <i>
      <x v="10"/>
    </i>
    <i>
      <x v="2"/>
    </i>
    <i>
      <x v="8"/>
    </i>
    <i t="grand">
      <x/>
    </i>
  </rowItems>
  <colItems count="1">
    <i/>
  </colItems>
  <dataFields count="1">
    <dataField name="Sum of Sales" fld="8" baseField="0" baseItem="0"/>
  </dataFields>
  <formats count="1">
    <format dxfId="46">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E86CA-1270-4E7D-A1E6-7A213F5002A2}" name="PivotTable3" cacheId="2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D8" firstHeaderRow="1" firstDataRow="2" firstDataCol="1"/>
  <pivotFields count="11">
    <pivotField numFmtId="164" showAll="0"/>
    <pivotField axis="axisRow" numFmtId="1" showAll="0">
      <items count="5">
        <item x="0"/>
        <item x="1"/>
        <item x="2"/>
        <item x="3"/>
        <item t="default"/>
      </items>
    </pivotField>
    <pivotField numFmtId="1" showAll="0"/>
    <pivotField showAll="0"/>
    <pivotField showAll="0"/>
    <pivotField axis="axisCol" showAll="0">
      <items count="4">
        <item x="0"/>
        <item x="2"/>
        <item x="1"/>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54AB5E-14C3-4B09-919A-F2ABF2291E29}" name="PivotTable4"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6" firstHeaderRow="1" firstDataRow="1" firstDataCol="1"/>
  <pivotFields count="11">
    <pivotField numFmtId="16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0"/>
        <item x="2"/>
        <item x="1"/>
        <item t="default"/>
      </items>
    </pivotField>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24BF5-F070-450D-A9A4-8B56759C817F}" name="PivotTable5" cacheId="2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13" firstHeaderRow="1" firstDataRow="1" firstDataCol="1"/>
  <pivotFields count="11">
    <pivotField numFmtId="164" showAll="0"/>
    <pivotField numFmtId="1" showAll="0">
      <items count="5">
        <item x="0"/>
        <item x="1"/>
        <item x="2"/>
        <item x="3"/>
        <item t="default"/>
      </items>
    </pivotField>
    <pivotField numFmtId="1" showAll="0"/>
    <pivotField axis="axisRow" showAll="0" sortType="descending">
      <items count="11">
        <item x="0"/>
        <item x="1"/>
        <item x="5"/>
        <item x="8"/>
        <item x="6"/>
        <item x="7"/>
        <item x="9"/>
        <item x="3"/>
        <item x="2"/>
        <item x="4"/>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dataField="1" showAll="0"/>
  </pivotFields>
  <rowFields count="1">
    <field x="3"/>
  </rowFields>
  <rowItems count="10">
    <i>
      <x v="1"/>
    </i>
    <i>
      <x v="5"/>
    </i>
    <i>
      <x/>
    </i>
    <i>
      <x v="9"/>
    </i>
    <i>
      <x v="3"/>
    </i>
    <i>
      <x v="6"/>
    </i>
    <i>
      <x v="4"/>
    </i>
    <i>
      <x v="7"/>
    </i>
    <i>
      <x v="2"/>
    </i>
    <i>
      <x v="8"/>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BB334-E3E6-4DAD-BE67-C6E699B4C704}" name="PivotTable7"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1">
    <pivotField numFmtId="164" showAll="0"/>
    <pivotField numFmtId="1" showAll="0">
      <items count="5">
        <item x="0"/>
        <item x="1"/>
        <item x="2"/>
        <item x="3"/>
        <item t="default"/>
      </items>
    </pivotField>
    <pivotField numFmtId="1" showAll="0"/>
    <pivotField showAll="0"/>
    <pivotField axis="axisRow" showAll="0">
      <items count="11">
        <item x="5"/>
        <item x="4"/>
        <item x="3"/>
        <item x="0"/>
        <item x="9"/>
        <item x="2"/>
        <item x="6"/>
        <item x="1"/>
        <item x="8"/>
        <item x="7"/>
        <item t="default"/>
      </items>
    </pivotField>
    <pivotField showAll="0">
      <items count="4">
        <item x="0"/>
        <item x="2"/>
        <item x="1"/>
        <item t="default"/>
      </items>
    </pivotField>
    <pivotField showAll="0"/>
    <pivotField showAll="0"/>
    <pivotField dataField="1"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FB72A4-2590-4306-9D9D-E710171A63F6}" name="PivotTable10" cacheId="27"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8">
  <location ref="F6:G10"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484DBB-1E86-4C6E-8701-02BAA5FB7A98}" sourceName="Year">
  <pivotTables>
    <pivotTable tabId="5" name="PivotTable4"/>
    <pivotTable tabId="9" name="PivotTable7"/>
    <pivotTable tabId="2" name="PivotTable1"/>
    <pivotTable tabId="4" name="PivotTable3"/>
    <pivotTable tabId="6" name="PivotTable5"/>
  </pivotTables>
  <data>
    <tabular pivotCacheId="18214767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027D4B-8BE2-43A0-ACAC-3FE4C10D46FA}" sourceName="Category">
  <pivotTables>
    <pivotTable tabId="2" name="PivotTable1"/>
    <pivotTable tabId="9" name="PivotTable7"/>
    <pivotTable tabId="5" name="PivotTable4"/>
    <pivotTable tabId="4" name="PivotTable3"/>
    <pivotTable tabId="6" name="PivotTable5"/>
  </pivotTables>
  <data>
    <tabular pivotCacheId="1821476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30CFEF0-2361-4BDE-95F1-2B107733CDEF}" cache="Slicer_Year" caption="Year" columnCount="4" rowHeight="234950"/>
  <slicer name="Category" xr10:uid="{5DB53600-F136-4F79-9A4B-9895C81F81AF}"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A7D13-37AC-445E-AD94-107E439B0F34}" name="SalesData" displayName="SalesData" ref="A1:K1001" totalsRowShown="0" headerRowDxfId="52" dataDxfId="51" headerRowBorderDxfId="60" tableBorderDxfId="61">
  <autoFilter ref="A1:K1001" xr:uid="{38FA7D13-37AC-445E-AD94-107E439B0F34}"/>
  <sortState xmlns:xlrd2="http://schemas.microsoft.com/office/spreadsheetml/2017/richdata2" ref="A2:K1001">
    <sortCondition ref="A2:A1001"/>
  </sortState>
  <tableColumns count="11">
    <tableColumn id="1" xr3:uid="{210D1E25-D80B-44B5-B173-CBD58CFE8DF2}" name="Order Date" dataDxfId="47"/>
    <tableColumn id="11" xr3:uid="{27813D5B-E243-406C-9C6B-06FCDC9B24F6}" name="Year" dataDxfId="48">
      <calculatedColumnFormula>YEAR(A2)</calculatedColumnFormula>
    </tableColumn>
    <tableColumn id="10" xr3:uid="{60E888D8-B915-4027-BC0F-5702D4AC55FC}" name="Month" dataDxfId="49">
      <calculatedColumnFormula>MONTH(A2)</calculatedColumnFormula>
    </tableColumn>
    <tableColumn id="2" xr3:uid="{9272E620-02EE-433F-B644-C6CABC687B6A}" name="Customer Name" dataDxfId="50"/>
    <tableColumn id="3" xr3:uid="{1ADCE6E5-C1AC-4387-BBC9-0287763E7478}" name="State" dataDxfId="59"/>
    <tableColumn id="4" xr3:uid="{B5EE106D-118A-4BAA-9A74-BC31479A0C20}" name="Category" dataDxfId="58"/>
    <tableColumn id="5" xr3:uid="{538106A6-9E25-4806-B48F-1DB96B4622AC}" name="Sub-Category" dataDxfId="57"/>
    <tableColumn id="6" xr3:uid="{14903A03-411A-40B6-AF26-BC95D5E3BEC5}" name="Product Name" dataDxfId="56"/>
    <tableColumn id="7" xr3:uid="{148268AD-3D5A-4F08-9914-C593147EC5FD}" name="Sales" dataDxfId="55"/>
    <tableColumn id="8" xr3:uid="{836CCA0B-2570-45A6-ACD9-290417A71A1D}" name="Quantity" dataDxfId="54"/>
    <tableColumn id="9" xr3:uid="{F9D5DEA2-6858-4800-B23D-558557A76D6F}" name="Profit" dataDxfId="5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A10902-D71A-4491-96DA-2EB6E48DAFDC}" name="CustomerCount" displayName="CustomerCount" ref="A1:B41" totalsRowShown="0" headerRowBorderDxfId="45">
  <autoFilter ref="A1:B41" xr:uid="{0FA10902-D71A-4491-96DA-2EB6E48DAFDC}"/>
  <tableColumns count="2">
    <tableColumn id="1" xr3:uid="{89A1DAAE-50AD-4275-85D6-C1B04FA2EDE0}" name="Year" dataDxfId="44"/>
    <tableColumn id="2" xr3:uid="{DB528E02-E2FB-4AC0-8BF6-FFDFCF21D43D}" name="Customer 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CDCC-B4B8-428D-841E-3DB84732C2F3}">
  <dimension ref="A3:F16"/>
  <sheetViews>
    <sheetView workbookViewId="0">
      <selection activeCell="B9" sqref="B9"/>
    </sheetView>
  </sheetViews>
  <sheetFormatPr defaultRowHeight="14.4" x14ac:dyDescent="0.3"/>
  <cols>
    <col min="1" max="1" width="12.5546875" bestFit="1" customWidth="1"/>
    <col min="2" max="2" width="11.6640625" bestFit="1" customWidth="1"/>
  </cols>
  <sheetData>
    <row r="3" spans="1:6" x14ac:dyDescent="0.3">
      <c r="A3" s="9" t="s">
        <v>73</v>
      </c>
      <c r="B3" t="s">
        <v>75</v>
      </c>
    </row>
    <row r="4" spans="1:6" x14ac:dyDescent="0.3">
      <c r="A4" s="10" t="s">
        <v>32</v>
      </c>
      <c r="B4" s="12">
        <v>67871.989999999991</v>
      </c>
      <c r="E4" t="str">
        <f>A4</f>
        <v>Accessories</v>
      </c>
      <c r="F4" s="12">
        <f>B4</f>
        <v>67871.989999999991</v>
      </c>
    </row>
    <row r="5" spans="1:6" x14ac:dyDescent="0.3">
      <c r="A5" s="10" t="s">
        <v>41</v>
      </c>
      <c r="B5" s="12">
        <v>66496.239999999991</v>
      </c>
      <c r="E5" t="str">
        <f t="shared" ref="E5:E15" si="0">A5</f>
        <v>Phones</v>
      </c>
      <c r="F5" s="12">
        <f t="shared" ref="F5:F15" si="1">B5</f>
        <v>66496.239999999991</v>
      </c>
    </row>
    <row r="6" spans="1:6" x14ac:dyDescent="0.3">
      <c r="A6" s="10" t="s">
        <v>40</v>
      </c>
      <c r="B6" s="12">
        <v>60347.020000000026</v>
      </c>
      <c r="E6" t="str">
        <f t="shared" si="0"/>
        <v>Copiers</v>
      </c>
      <c r="F6" s="12">
        <f t="shared" si="1"/>
        <v>60347.020000000026</v>
      </c>
    </row>
    <row r="7" spans="1:6" x14ac:dyDescent="0.3">
      <c r="A7" s="10" t="s">
        <v>42</v>
      </c>
      <c r="B7" s="12">
        <v>54295.009999999995</v>
      </c>
      <c r="E7" t="str">
        <f t="shared" si="0"/>
        <v>Chairs</v>
      </c>
      <c r="F7" s="12">
        <f t="shared" si="1"/>
        <v>54295.009999999995</v>
      </c>
    </row>
    <row r="8" spans="1:6" x14ac:dyDescent="0.3">
      <c r="A8" s="10" t="s">
        <v>37</v>
      </c>
      <c r="B8" s="12">
        <v>53488.400000000009</v>
      </c>
      <c r="E8" t="str">
        <f t="shared" si="0"/>
        <v>Bookcases</v>
      </c>
      <c r="F8" s="12">
        <f t="shared" si="1"/>
        <v>53488.400000000009</v>
      </c>
    </row>
    <row r="9" spans="1:6" x14ac:dyDescent="0.3">
      <c r="A9" s="10" t="s">
        <v>35</v>
      </c>
      <c r="B9" s="12">
        <v>52647.82</v>
      </c>
      <c r="E9" t="str">
        <f t="shared" si="0"/>
        <v>Tables</v>
      </c>
      <c r="F9" s="12">
        <f t="shared" si="1"/>
        <v>52647.82</v>
      </c>
    </row>
    <row r="10" spans="1:6" x14ac:dyDescent="0.3">
      <c r="A10" s="10" t="s">
        <v>33</v>
      </c>
      <c r="B10" s="12">
        <v>51166.430000000008</v>
      </c>
      <c r="E10" t="str">
        <f t="shared" si="0"/>
        <v>Furnishings</v>
      </c>
      <c r="F10" s="12">
        <f t="shared" si="1"/>
        <v>51166.430000000008</v>
      </c>
    </row>
    <row r="11" spans="1:6" x14ac:dyDescent="0.3">
      <c r="A11" s="10" t="s">
        <v>34</v>
      </c>
      <c r="B11" s="12">
        <v>45908.17</v>
      </c>
      <c r="E11" t="str">
        <f t="shared" si="0"/>
        <v>Art</v>
      </c>
      <c r="F11" s="12">
        <f t="shared" si="1"/>
        <v>45908.17</v>
      </c>
    </row>
    <row r="12" spans="1:6" x14ac:dyDescent="0.3">
      <c r="A12" s="10" t="s">
        <v>36</v>
      </c>
      <c r="B12" s="12">
        <v>45126.360000000015</v>
      </c>
      <c r="E12" t="str">
        <f t="shared" si="0"/>
        <v>Labels</v>
      </c>
      <c r="F12" s="12">
        <f t="shared" si="1"/>
        <v>45126.360000000015</v>
      </c>
    </row>
    <row r="13" spans="1:6" x14ac:dyDescent="0.3">
      <c r="A13" s="10" t="s">
        <v>43</v>
      </c>
      <c r="B13" s="12">
        <v>39342.559999999998</v>
      </c>
      <c r="E13" t="str">
        <f t="shared" si="0"/>
        <v>Storage</v>
      </c>
      <c r="F13" s="12">
        <f t="shared" si="1"/>
        <v>39342.559999999998</v>
      </c>
    </row>
    <row r="14" spans="1:6" x14ac:dyDescent="0.3">
      <c r="A14" s="10" t="s">
        <v>39</v>
      </c>
      <c r="B14" s="12">
        <v>37682.369999999995</v>
      </c>
      <c r="E14" t="str">
        <f t="shared" si="0"/>
        <v>Binders</v>
      </c>
      <c r="F14" s="12">
        <f t="shared" si="1"/>
        <v>37682.369999999995</v>
      </c>
    </row>
    <row r="15" spans="1:6" x14ac:dyDescent="0.3">
      <c r="A15" s="10" t="s">
        <v>38</v>
      </c>
      <c r="B15" s="12">
        <v>37224.770000000011</v>
      </c>
      <c r="E15" t="str">
        <f t="shared" si="0"/>
        <v>Paper</v>
      </c>
      <c r="F15" s="12">
        <f t="shared" si="1"/>
        <v>37224.770000000011</v>
      </c>
    </row>
    <row r="16" spans="1:6" x14ac:dyDescent="0.3">
      <c r="A16" s="10" t="s">
        <v>74</v>
      </c>
      <c r="B16" s="11">
        <v>611597.14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AE8BF-5E92-4469-9AE1-7FC0436A69B3}">
  <dimension ref="A3:D8"/>
  <sheetViews>
    <sheetView workbookViewId="0">
      <selection activeCell="D21" sqref="D21"/>
    </sheetView>
  </sheetViews>
  <sheetFormatPr defaultRowHeight="14.4" x14ac:dyDescent="0.3"/>
  <cols>
    <col min="1" max="1" width="12.5546875" bestFit="1" customWidth="1"/>
    <col min="2" max="2" width="15.5546875" bestFit="1" customWidth="1"/>
    <col min="3" max="3" width="13.5546875" bestFit="1" customWidth="1"/>
    <col min="4" max="4" width="10.77734375" bestFit="1" customWidth="1"/>
    <col min="5" max="5" width="11.6640625" bestFit="1" customWidth="1"/>
  </cols>
  <sheetData>
    <row r="3" spans="1:4" x14ac:dyDescent="0.3">
      <c r="A3" s="9" t="s">
        <v>77</v>
      </c>
      <c r="B3" s="9" t="s">
        <v>78</v>
      </c>
    </row>
    <row r="4" spans="1:4" x14ac:dyDescent="0.3">
      <c r="A4" s="9" t="s">
        <v>73</v>
      </c>
      <c r="B4" t="s">
        <v>30</v>
      </c>
      <c r="C4" t="s">
        <v>31</v>
      </c>
      <c r="D4" t="s">
        <v>29</v>
      </c>
    </row>
    <row r="5" spans="1:4" x14ac:dyDescent="0.3">
      <c r="A5" s="13">
        <v>2014</v>
      </c>
      <c r="B5" s="11">
        <v>-74.728999999999758</v>
      </c>
      <c r="C5" s="11">
        <v>-2099.6999999999998</v>
      </c>
      <c r="D5" s="11">
        <v>1460.4035000000001</v>
      </c>
    </row>
    <row r="6" spans="1:4" x14ac:dyDescent="0.3">
      <c r="A6" s="13">
        <v>2015</v>
      </c>
      <c r="B6" s="11">
        <v>-3171.6647000000016</v>
      </c>
      <c r="C6" s="11">
        <v>-2054.4041000000002</v>
      </c>
      <c r="D6" s="11">
        <v>-2567.6209999999996</v>
      </c>
    </row>
    <row r="7" spans="1:4" x14ac:dyDescent="0.3">
      <c r="A7" s="13">
        <v>2016</v>
      </c>
      <c r="B7" s="11">
        <v>480.3531000000001</v>
      </c>
      <c r="C7" s="11">
        <v>-2137.1349999999998</v>
      </c>
      <c r="D7" s="11">
        <v>-4716.1081000000013</v>
      </c>
    </row>
    <row r="8" spans="1:4" x14ac:dyDescent="0.3">
      <c r="A8" s="13">
        <v>2017</v>
      </c>
      <c r="B8" s="11">
        <v>789.88680000000011</v>
      </c>
      <c r="C8" s="11">
        <v>1094.9366000000002</v>
      </c>
      <c r="D8" s="11">
        <v>-297.37880000000001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2C31-FC60-4676-A3F9-2819DA526173}">
  <dimension ref="A3:B16"/>
  <sheetViews>
    <sheetView workbookViewId="0">
      <selection activeCell="P20" sqref="P20"/>
    </sheetView>
  </sheetViews>
  <sheetFormatPr defaultRowHeight="14.4" x14ac:dyDescent="0.3"/>
  <cols>
    <col min="1" max="1" width="12.5546875" bestFit="1" customWidth="1"/>
    <col min="2" max="2" width="11.6640625" bestFit="1" customWidth="1"/>
  </cols>
  <sheetData>
    <row r="3" spans="1:2" x14ac:dyDescent="0.3">
      <c r="A3" s="9" t="s">
        <v>73</v>
      </c>
      <c r="B3" t="s">
        <v>75</v>
      </c>
    </row>
    <row r="4" spans="1:2" x14ac:dyDescent="0.3">
      <c r="A4" s="13">
        <v>1</v>
      </c>
      <c r="B4" s="11">
        <v>57082.969999999994</v>
      </c>
    </row>
    <row r="5" spans="1:2" x14ac:dyDescent="0.3">
      <c r="A5" s="13">
        <v>2</v>
      </c>
      <c r="B5" s="11">
        <v>53922.180000000015</v>
      </c>
    </row>
    <row r="6" spans="1:2" x14ac:dyDescent="0.3">
      <c r="A6" s="13">
        <v>3</v>
      </c>
      <c r="B6" s="11">
        <v>53318.33</v>
      </c>
    </row>
    <row r="7" spans="1:2" x14ac:dyDescent="0.3">
      <c r="A7" s="13">
        <v>4</v>
      </c>
      <c r="B7" s="11">
        <v>50855.229999999981</v>
      </c>
    </row>
    <row r="8" spans="1:2" x14ac:dyDescent="0.3">
      <c r="A8" s="13">
        <v>5</v>
      </c>
      <c r="B8" s="11">
        <v>54618.639999999992</v>
      </c>
    </row>
    <row r="9" spans="1:2" x14ac:dyDescent="0.3">
      <c r="A9" s="13">
        <v>6</v>
      </c>
      <c r="B9" s="11">
        <v>47980.63</v>
      </c>
    </row>
    <row r="10" spans="1:2" x14ac:dyDescent="0.3">
      <c r="A10" s="13">
        <v>7</v>
      </c>
      <c r="B10" s="11">
        <v>52218.429999999993</v>
      </c>
    </row>
    <row r="11" spans="1:2" x14ac:dyDescent="0.3">
      <c r="A11" s="13">
        <v>8</v>
      </c>
      <c r="B11" s="11">
        <v>55121.360000000008</v>
      </c>
    </row>
    <row r="12" spans="1:2" x14ac:dyDescent="0.3">
      <c r="A12" s="13">
        <v>9</v>
      </c>
      <c r="B12" s="11">
        <v>61364.94999999999</v>
      </c>
    </row>
    <row r="13" spans="1:2" x14ac:dyDescent="0.3">
      <c r="A13" s="13">
        <v>10</v>
      </c>
      <c r="B13" s="11">
        <v>45672.41</v>
      </c>
    </row>
    <row r="14" spans="1:2" x14ac:dyDescent="0.3">
      <c r="A14" s="13">
        <v>11</v>
      </c>
      <c r="B14" s="11">
        <v>40264.459999999992</v>
      </c>
    </row>
    <row r="15" spans="1:2" x14ac:dyDescent="0.3">
      <c r="A15" s="13">
        <v>12</v>
      </c>
      <c r="B15" s="11">
        <v>39177.549999999996</v>
      </c>
    </row>
    <row r="16" spans="1:2" x14ac:dyDescent="0.3">
      <c r="A16" s="13" t="s">
        <v>74</v>
      </c>
      <c r="B16" s="11">
        <v>611597.14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6643-D85D-49EA-9FC5-30A973170896}">
  <dimension ref="A3:F13"/>
  <sheetViews>
    <sheetView workbookViewId="0">
      <selection activeCell="D17" sqref="D17"/>
    </sheetView>
  </sheetViews>
  <sheetFormatPr defaultRowHeight="14.4" x14ac:dyDescent="0.3"/>
  <cols>
    <col min="1" max="1" width="14.88671875" bestFit="1" customWidth="1"/>
    <col min="2" max="2" width="12.109375" bestFit="1" customWidth="1"/>
  </cols>
  <sheetData>
    <row r="3" spans="1:6" x14ac:dyDescent="0.3">
      <c r="A3" s="9" t="s">
        <v>73</v>
      </c>
      <c r="B3" t="s">
        <v>77</v>
      </c>
    </row>
    <row r="4" spans="1:6" x14ac:dyDescent="0.3">
      <c r="A4" s="10" t="s">
        <v>14</v>
      </c>
      <c r="B4" s="11">
        <v>618.66269999999986</v>
      </c>
      <c r="E4" t="str">
        <f>A4</f>
        <v>Brosina Hoffman</v>
      </c>
      <c r="F4">
        <f>B4</f>
        <v>618.66269999999986</v>
      </c>
    </row>
    <row r="5" spans="1:6" x14ac:dyDescent="0.3">
      <c r="A5" s="10" t="s">
        <v>13</v>
      </c>
      <c r="B5" s="11">
        <v>171.12429999999981</v>
      </c>
      <c r="E5" t="str">
        <f t="shared" ref="E5:E6" si="0">A5</f>
        <v>Harold Pawlan</v>
      </c>
      <c r="F5">
        <f t="shared" ref="F5:F6" si="1">B5</f>
        <v>171.12429999999981</v>
      </c>
    </row>
    <row r="6" spans="1:6" x14ac:dyDescent="0.3">
      <c r="A6" s="10" t="s">
        <v>16</v>
      </c>
      <c r="B6" s="11">
        <v>50.728300000000068</v>
      </c>
      <c r="E6" t="str">
        <f t="shared" si="0"/>
        <v>Andrew Allen</v>
      </c>
      <c r="F6">
        <f t="shared" si="1"/>
        <v>50.728300000000068</v>
      </c>
    </row>
    <row r="7" spans="1:6" x14ac:dyDescent="0.3">
      <c r="A7" s="10" t="s">
        <v>10</v>
      </c>
      <c r="B7" s="11">
        <v>-266.19120000000021</v>
      </c>
    </row>
    <row r="8" spans="1:6" x14ac:dyDescent="0.3">
      <c r="A8" s="10" t="s">
        <v>9</v>
      </c>
      <c r="B8" s="11">
        <v>-1741.2029999999997</v>
      </c>
    </row>
    <row r="9" spans="1:6" x14ac:dyDescent="0.3">
      <c r="A9" s="10" t="s">
        <v>15</v>
      </c>
      <c r="B9" s="11">
        <v>-1930.3353</v>
      </c>
    </row>
    <row r="10" spans="1:6" x14ac:dyDescent="0.3">
      <c r="A10" s="10" t="s">
        <v>17</v>
      </c>
      <c r="B10" s="11">
        <v>-2221.9178000000002</v>
      </c>
    </row>
    <row r="11" spans="1:6" x14ac:dyDescent="0.3">
      <c r="A11" s="10" t="s">
        <v>18</v>
      </c>
      <c r="B11" s="11">
        <v>-2281.0750999999991</v>
      </c>
    </row>
    <row r="12" spans="1:6" x14ac:dyDescent="0.3">
      <c r="A12" s="10" t="s">
        <v>11</v>
      </c>
      <c r="B12" s="11">
        <v>-2607.5982000000013</v>
      </c>
    </row>
    <row r="13" spans="1:6" x14ac:dyDescent="0.3">
      <c r="A13" s="10" t="s">
        <v>12</v>
      </c>
      <c r="B13" s="11">
        <v>-3085.3553999999981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109B-29C4-40AA-BF6F-034D0F1669DC}">
  <dimension ref="A3:F14"/>
  <sheetViews>
    <sheetView workbookViewId="0">
      <selection activeCell="Q16" sqref="Q16"/>
    </sheetView>
  </sheetViews>
  <sheetFormatPr defaultRowHeight="14.4" x14ac:dyDescent="0.3"/>
  <cols>
    <col min="1" max="1" width="13.109375" bestFit="1" customWidth="1"/>
    <col min="2" max="2" width="11.6640625" bestFit="1" customWidth="1"/>
  </cols>
  <sheetData>
    <row r="3" spans="1:6" x14ac:dyDescent="0.3">
      <c r="A3" s="9" t="s">
        <v>73</v>
      </c>
      <c r="B3" t="s">
        <v>75</v>
      </c>
    </row>
    <row r="4" spans="1:6" x14ac:dyDescent="0.3">
      <c r="A4" s="10" t="s">
        <v>19</v>
      </c>
      <c r="B4" s="11">
        <v>67435.049999999974</v>
      </c>
      <c r="E4" t="str">
        <f>A4</f>
        <v>California</v>
      </c>
      <c r="F4">
        <f>B4</f>
        <v>67435.049999999974</v>
      </c>
    </row>
    <row r="5" spans="1:6" x14ac:dyDescent="0.3">
      <c r="A5" s="10" t="s">
        <v>25</v>
      </c>
      <c r="B5" s="11">
        <v>56637.109999999993</v>
      </c>
      <c r="E5" t="str">
        <f t="shared" ref="E5:E13" si="0">A5</f>
        <v>Florida</v>
      </c>
      <c r="F5">
        <f t="shared" ref="F5:F13" si="1">B5</f>
        <v>56637.109999999993</v>
      </c>
    </row>
    <row r="6" spans="1:6" x14ac:dyDescent="0.3">
      <c r="A6" s="10" t="s">
        <v>24</v>
      </c>
      <c r="B6" s="11">
        <v>61588.820000000036</v>
      </c>
      <c r="E6" t="str">
        <f t="shared" si="0"/>
        <v>Kentucky</v>
      </c>
      <c r="F6">
        <f t="shared" si="1"/>
        <v>61588.820000000036</v>
      </c>
    </row>
    <row r="7" spans="1:6" x14ac:dyDescent="0.3">
      <c r="A7" s="10" t="s">
        <v>28</v>
      </c>
      <c r="B7" s="11">
        <v>53134.789999999986</v>
      </c>
      <c r="E7" t="str">
        <f t="shared" si="0"/>
        <v>Nebraska</v>
      </c>
      <c r="F7">
        <f t="shared" si="1"/>
        <v>53134.789999999986</v>
      </c>
    </row>
    <row r="8" spans="1:6" x14ac:dyDescent="0.3">
      <c r="A8" s="10" t="s">
        <v>27</v>
      </c>
      <c r="B8" s="11">
        <v>61450.329999999973</v>
      </c>
      <c r="E8" t="str">
        <f t="shared" si="0"/>
        <v>North Carolina</v>
      </c>
      <c r="F8">
        <f t="shared" si="1"/>
        <v>61450.329999999973</v>
      </c>
    </row>
    <row r="9" spans="1:6" x14ac:dyDescent="0.3">
      <c r="A9" s="10" t="s">
        <v>26</v>
      </c>
      <c r="B9" s="11">
        <v>64190.310000000012</v>
      </c>
      <c r="E9" t="str">
        <f t="shared" si="0"/>
        <v>Pennsylvania</v>
      </c>
      <c r="F9">
        <f t="shared" si="1"/>
        <v>64190.310000000012</v>
      </c>
    </row>
    <row r="10" spans="1:6" x14ac:dyDescent="0.3">
      <c r="A10" s="10" t="s">
        <v>20</v>
      </c>
      <c r="B10" s="11">
        <v>60860.430000000015</v>
      </c>
      <c r="E10" t="str">
        <f t="shared" si="0"/>
        <v>Texas</v>
      </c>
      <c r="F10">
        <f t="shared" si="1"/>
        <v>60860.430000000015</v>
      </c>
    </row>
    <row r="11" spans="1:6" x14ac:dyDescent="0.3">
      <c r="A11" s="10" t="s">
        <v>22</v>
      </c>
      <c r="B11" s="11">
        <v>59119.919999999991</v>
      </c>
      <c r="E11" t="str">
        <f t="shared" si="0"/>
        <v>Utah</v>
      </c>
      <c r="F11">
        <f t="shared" si="1"/>
        <v>59119.919999999991</v>
      </c>
    </row>
    <row r="12" spans="1:6" x14ac:dyDescent="0.3">
      <c r="A12" s="10" t="s">
        <v>23</v>
      </c>
      <c r="B12" s="11">
        <v>64444.639999999985</v>
      </c>
      <c r="E12" t="str">
        <f t="shared" si="0"/>
        <v>Washington</v>
      </c>
      <c r="F12">
        <f t="shared" si="1"/>
        <v>64444.639999999985</v>
      </c>
    </row>
    <row r="13" spans="1:6" x14ac:dyDescent="0.3">
      <c r="A13" s="10" t="s">
        <v>21</v>
      </c>
      <c r="B13" s="11">
        <v>62735.740000000005</v>
      </c>
      <c r="E13" t="str">
        <f t="shared" si="0"/>
        <v>Wisconsin</v>
      </c>
      <c r="F13">
        <f t="shared" si="1"/>
        <v>62735.740000000005</v>
      </c>
    </row>
    <row r="14" spans="1:6" x14ac:dyDescent="0.3">
      <c r="A14" s="10" t="s">
        <v>74</v>
      </c>
      <c r="B14" s="11">
        <v>611597.1399999999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B1" activeCellId="1" sqref="D1:D1048576 B1:B1048576"/>
    </sheetView>
  </sheetViews>
  <sheetFormatPr defaultRowHeight="14.4" x14ac:dyDescent="0.3"/>
  <cols>
    <col min="1" max="2" width="20.33203125" style="6" customWidth="1"/>
    <col min="3" max="3" width="13.33203125" style="6" customWidth="1"/>
    <col min="4" max="4" width="19.109375" bestFit="1" customWidth="1"/>
    <col min="5" max="6" width="13.109375" bestFit="1" customWidth="1"/>
    <col min="7" max="7" width="16.88671875" bestFit="1" customWidth="1"/>
    <col min="8" max="8" width="17.6640625" bestFit="1" customWidth="1"/>
    <col min="9" max="9" width="9.6640625" bestFit="1" customWidth="1"/>
    <col min="10" max="10" width="10.21875" customWidth="1"/>
    <col min="11" max="11" width="10.109375" bestFit="1" customWidth="1"/>
  </cols>
  <sheetData>
    <row r="1" spans="1:13" ht="15.6" x14ac:dyDescent="0.3">
      <c r="A1" s="5" t="s">
        <v>0</v>
      </c>
      <c r="B1" s="5" t="s">
        <v>76</v>
      </c>
      <c r="C1" s="5" t="s">
        <v>72</v>
      </c>
      <c r="D1" s="2" t="s">
        <v>1</v>
      </c>
      <c r="E1" s="2" t="s">
        <v>2</v>
      </c>
      <c r="F1" s="2" t="s">
        <v>3</v>
      </c>
      <c r="G1" s="2" t="s">
        <v>4</v>
      </c>
      <c r="H1" s="2" t="s">
        <v>5</v>
      </c>
      <c r="I1" s="4" t="s">
        <v>6</v>
      </c>
      <c r="J1" s="4" t="s">
        <v>7</v>
      </c>
      <c r="K1" s="4" t="s">
        <v>8</v>
      </c>
    </row>
    <row r="2" spans="1:13" ht="15.6" x14ac:dyDescent="0.3">
      <c r="A2" s="7">
        <v>41641</v>
      </c>
      <c r="B2" s="8">
        <f>YEAR(A2)</f>
        <v>2014</v>
      </c>
      <c r="C2" s="8">
        <f>MONTH(A2)</f>
        <v>1</v>
      </c>
      <c r="D2" s="3" t="s">
        <v>16</v>
      </c>
      <c r="E2" s="3" t="s">
        <v>28</v>
      </c>
      <c r="F2" s="3" t="s">
        <v>30</v>
      </c>
      <c r="G2" s="3" t="s">
        <v>33</v>
      </c>
      <c r="H2" s="3" t="s">
        <v>45</v>
      </c>
      <c r="I2" s="3">
        <v>1119.81</v>
      </c>
      <c r="J2" s="3">
        <v>7</v>
      </c>
      <c r="K2" s="3">
        <v>-224.15530000000001</v>
      </c>
    </row>
    <row r="3" spans="1:13" ht="15.6" x14ac:dyDescent="0.3">
      <c r="A3" s="7">
        <v>41642</v>
      </c>
      <c r="B3" s="8">
        <f>YEAR(A3)</f>
        <v>2014</v>
      </c>
      <c r="C3" s="8">
        <f>MONTH(A3)</f>
        <v>1</v>
      </c>
      <c r="D3" s="3" t="s">
        <v>14</v>
      </c>
      <c r="E3" s="3" t="s">
        <v>22</v>
      </c>
      <c r="F3" s="3" t="s">
        <v>29</v>
      </c>
      <c r="G3" s="3" t="s">
        <v>41</v>
      </c>
      <c r="H3" s="3" t="s">
        <v>57</v>
      </c>
      <c r="I3" s="3">
        <v>260.04000000000002</v>
      </c>
      <c r="J3" s="3">
        <v>2</v>
      </c>
      <c r="K3" s="3">
        <v>-78.135599999999997</v>
      </c>
    </row>
    <row r="4" spans="1:13" ht="15.6" x14ac:dyDescent="0.3">
      <c r="A4" s="7">
        <v>41642</v>
      </c>
      <c r="B4" s="8">
        <f>YEAR(A4)</f>
        <v>2014</v>
      </c>
      <c r="C4" s="8">
        <f>MONTH(A4)</f>
        <v>1</v>
      </c>
      <c r="D4" s="3" t="s">
        <v>12</v>
      </c>
      <c r="E4" s="3" t="s">
        <v>22</v>
      </c>
      <c r="F4" s="3" t="s">
        <v>30</v>
      </c>
      <c r="G4" s="3" t="s">
        <v>37</v>
      </c>
      <c r="H4" s="3" t="s">
        <v>51</v>
      </c>
      <c r="I4" s="3">
        <v>1033.1600000000001</v>
      </c>
      <c r="J4" s="3">
        <v>2</v>
      </c>
      <c r="K4" s="3">
        <v>-115.0326</v>
      </c>
    </row>
    <row r="5" spans="1:13" ht="15.6" x14ac:dyDescent="0.3">
      <c r="A5" s="7">
        <v>41643</v>
      </c>
      <c r="B5" s="8">
        <f>YEAR(A5)</f>
        <v>2014</v>
      </c>
      <c r="C5" s="8">
        <f>MONTH(A5)</f>
        <v>1</v>
      </c>
      <c r="D5" s="3" t="s">
        <v>12</v>
      </c>
      <c r="E5" s="3" t="s">
        <v>26</v>
      </c>
      <c r="F5" s="3" t="s">
        <v>30</v>
      </c>
      <c r="G5" s="3" t="s">
        <v>37</v>
      </c>
      <c r="H5" s="3" t="s">
        <v>64</v>
      </c>
      <c r="I5" s="3">
        <v>146.26</v>
      </c>
      <c r="J5" s="3">
        <v>8</v>
      </c>
      <c r="K5" s="3">
        <v>10.1059</v>
      </c>
    </row>
    <row r="6" spans="1:13" ht="15.6" x14ac:dyDescent="0.3">
      <c r="A6" s="7">
        <v>41644</v>
      </c>
      <c r="B6" s="8">
        <f>YEAR(A6)</f>
        <v>2014</v>
      </c>
      <c r="C6" s="8">
        <f>MONTH(A6)</f>
        <v>1</v>
      </c>
      <c r="D6" s="3" t="s">
        <v>18</v>
      </c>
      <c r="E6" s="3" t="s">
        <v>26</v>
      </c>
      <c r="F6" s="3" t="s">
        <v>31</v>
      </c>
      <c r="G6" s="3" t="s">
        <v>39</v>
      </c>
      <c r="H6" s="3" t="s">
        <v>54</v>
      </c>
      <c r="I6" s="3">
        <v>732.5</v>
      </c>
      <c r="J6" s="3">
        <v>1</v>
      </c>
      <c r="K6" s="3">
        <v>202.2313</v>
      </c>
    </row>
    <row r="7" spans="1:13" ht="15.6" x14ac:dyDescent="0.3">
      <c r="A7" s="7">
        <v>41644</v>
      </c>
      <c r="B7" s="8">
        <f>YEAR(A7)</f>
        <v>2014</v>
      </c>
      <c r="C7" s="8">
        <f>MONTH(A7)</f>
        <v>1</v>
      </c>
      <c r="D7" s="3" t="s">
        <v>10</v>
      </c>
      <c r="E7" s="3" t="s">
        <v>26</v>
      </c>
      <c r="F7" s="3" t="s">
        <v>31</v>
      </c>
      <c r="G7" s="3" t="s">
        <v>38</v>
      </c>
      <c r="H7" s="3" t="s">
        <v>53</v>
      </c>
      <c r="I7" s="3">
        <v>1125.78</v>
      </c>
      <c r="J7" s="3">
        <v>1</v>
      </c>
      <c r="K7" s="3">
        <v>270.63170000000002</v>
      </c>
    </row>
    <row r="8" spans="1:13" ht="15.6" x14ac:dyDescent="0.3">
      <c r="A8" s="7">
        <v>41645</v>
      </c>
      <c r="B8" s="8">
        <f>YEAR(A8)</f>
        <v>2014</v>
      </c>
      <c r="C8" s="8">
        <f>MONTH(A8)</f>
        <v>1</v>
      </c>
      <c r="D8" s="3" t="s">
        <v>12</v>
      </c>
      <c r="E8" s="3" t="s">
        <v>24</v>
      </c>
      <c r="F8" s="3" t="s">
        <v>30</v>
      </c>
      <c r="G8" s="3" t="s">
        <v>42</v>
      </c>
      <c r="H8" s="3" t="s">
        <v>69</v>
      </c>
      <c r="I8" s="3">
        <v>493.18</v>
      </c>
      <c r="J8" s="3">
        <v>10</v>
      </c>
      <c r="K8" s="3">
        <v>-23.458400000000001</v>
      </c>
    </row>
    <row r="9" spans="1:13" ht="15.6" x14ac:dyDescent="0.3">
      <c r="A9" s="7">
        <v>41648</v>
      </c>
      <c r="B9" s="8">
        <f>YEAR(A9)</f>
        <v>2014</v>
      </c>
      <c r="C9" s="8">
        <f>MONTH(A9)</f>
        <v>1</v>
      </c>
      <c r="D9" s="3" t="s">
        <v>11</v>
      </c>
      <c r="E9" s="3" t="s">
        <v>28</v>
      </c>
      <c r="F9" s="3" t="s">
        <v>31</v>
      </c>
      <c r="G9" s="3" t="s">
        <v>38</v>
      </c>
      <c r="H9" s="3" t="s">
        <v>63</v>
      </c>
      <c r="I9" s="3">
        <v>376.62</v>
      </c>
      <c r="J9" s="3">
        <v>1</v>
      </c>
      <c r="K9" s="3">
        <v>43.420200000000001</v>
      </c>
    </row>
    <row r="10" spans="1:13" ht="15.6" x14ac:dyDescent="0.3">
      <c r="A10" s="7">
        <v>41648</v>
      </c>
      <c r="B10" s="8">
        <f>YEAR(A10)</f>
        <v>2014</v>
      </c>
      <c r="C10" s="8">
        <f>MONTH(A10)</f>
        <v>1</v>
      </c>
      <c r="D10" s="3" t="s">
        <v>18</v>
      </c>
      <c r="E10" s="3" t="s">
        <v>25</v>
      </c>
      <c r="F10" s="3" t="s">
        <v>31</v>
      </c>
      <c r="G10" s="3" t="s">
        <v>34</v>
      </c>
      <c r="H10" s="3" t="s">
        <v>46</v>
      </c>
      <c r="I10" s="3">
        <v>1164.33</v>
      </c>
      <c r="J10" s="3">
        <v>9</v>
      </c>
      <c r="K10" s="3">
        <v>386.20920000000001</v>
      </c>
    </row>
    <row r="11" spans="1:13" ht="15.6" x14ac:dyDescent="0.3">
      <c r="A11" s="7">
        <v>41650</v>
      </c>
      <c r="B11" s="8">
        <f>YEAR(A11)</f>
        <v>2014</v>
      </c>
      <c r="C11" s="8">
        <f>MONTH(A11)</f>
        <v>1</v>
      </c>
      <c r="D11" s="3" t="s">
        <v>17</v>
      </c>
      <c r="E11" s="3" t="s">
        <v>19</v>
      </c>
      <c r="F11" s="3" t="s">
        <v>30</v>
      </c>
      <c r="G11" s="3" t="s">
        <v>33</v>
      </c>
      <c r="H11" s="3" t="s">
        <v>60</v>
      </c>
      <c r="I11" s="3">
        <v>966.22</v>
      </c>
      <c r="J11" s="3">
        <v>3</v>
      </c>
      <c r="K11" s="3">
        <v>-44.686199999999999</v>
      </c>
    </row>
    <row r="12" spans="1:13" ht="15.6" x14ac:dyDescent="0.3">
      <c r="A12" s="7">
        <v>41651</v>
      </c>
      <c r="B12" s="8">
        <f>YEAR(A12)</f>
        <v>2014</v>
      </c>
      <c r="C12" s="8">
        <f>MONTH(A12)</f>
        <v>1</v>
      </c>
      <c r="D12" s="3" t="s">
        <v>13</v>
      </c>
      <c r="E12" s="3" t="s">
        <v>28</v>
      </c>
      <c r="F12" s="3" t="s">
        <v>31</v>
      </c>
      <c r="G12" s="3" t="s">
        <v>43</v>
      </c>
      <c r="H12" s="3" t="s">
        <v>62</v>
      </c>
      <c r="I12" s="3">
        <v>1071.73</v>
      </c>
      <c r="J12" s="3">
        <v>2</v>
      </c>
      <c r="K12" s="3">
        <v>197.00040000000001</v>
      </c>
    </row>
    <row r="13" spans="1:13" ht="15.6" x14ac:dyDescent="0.3">
      <c r="A13" s="7">
        <v>41652</v>
      </c>
      <c r="B13" s="8">
        <f>YEAR(A13)</f>
        <v>2014</v>
      </c>
      <c r="C13" s="8">
        <f>MONTH(A13)</f>
        <v>1</v>
      </c>
      <c r="D13" s="3" t="s">
        <v>17</v>
      </c>
      <c r="E13" s="3" t="s">
        <v>19</v>
      </c>
      <c r="F13" s="3" t="s">
        <v>29</v>
      </c>
      <c r="G13" s="3" t="s">
        <v>32</v>
      </c>
      <c r="H13" s="3" t="s">
        <v>52</v>
      </c>
      <c r="I13" s="3">
        <v>1131.58</v>
      </c>
      <c r="J13" s="3">
        <v>5</v>
      </c>
      <c r="K13" s="3">
        <v>186.83099999999999</v>
      </c>
      <c r="M13" s="1"/>
    </row>
    <row r="14" spans="1:13" ht="15.6" x14ac:dyDescent="0.3">
      <c r="A14" s="7">
        <v>41653</v>
      </c>
      <c r="B14" s="8">
        <f>YEAR(A14)</f>
        <v>2014</v>
      </c>
      <c r="C14" s="8">
        <f>MONTH(A14)</f>
        <v>1</v>
      </c>
      <c r="D14" s="3" t="s">
        <v>17</v>
      </c>
      <c r="E14" s="3" t="s">
        <v>28</v>
      </c>
      <c r="F14" s="3" t="s">
        <v>29</v>
      </c>
      <c r="G14" s="3" t="s">
        <v>32</v>
      </c>
      <c r="H14" s="3" t="s">
        <v>44</v>
      </c>
      <c r="I14" s="3">
        <v>640.99</v>
      </c>
      <c r="J14" s="3">
        <v>7</v>
      </c>
      <c r="K14" s="3">
        <v>-250.6987</v>
      </c>
    </row>
    <row r="15" spans="1:13" ht="15.6" x14ac:dyDescent="0.3">
      <c r="A15" s="7">
        <v>41653</v>
      </c>
      <c r="B15" s="8">
        <f>YEAR(A15)</f>
        <v>2014</v>
      </c>
      <c r="C15" s="8">
        <f>MONTH(A15)</f>
        <v>1</v>
      </c>
      <c r="D15" s="3" t="s">
        <v>9</v>
      </c>
      <c r="E15" s="3" t="s">
        <v>20</v>
      </c>
      <c r="F15" s="3" t="s">
        <v>30</v>
      </c>
      <c r="G15" s="3" t="s">
        <v>33</v>
      </c>
      <c r="H15" s="3" t="s">
        <v>60</v>
      </c>
      <c r="I15" s="3">
        <v>918.27</v>
      </c>
      <c r="J15" s="3">
        <v>9</v>
      </c>
      <c r="K15" s="3">
        <v>292.46420000000001</v>
      </c>
    </row>
    <row r="16" spans="1:13" ht="15.6" x14ac:dyDescent="0.3">
      <c r="A16" s="7">
        <v>41653</v>
      </c>
      <c r="B16" s="8">
        <f>YEAR(A16)</f>
        <v>2014</v>
      </c>
      <c r="C16" s="8">
        <f>MONTH(A16)</f>
        <v>1</v>
      </c>
      <c r="D16" s="3" t="s">
        <v>17</v>
      </c>
      <c r="E16" s="3" t="s">
        <v>19</v>
      </c>
      <c r="F16" s="3" t="s">
        <v>29</v>
      </c>
      <c r="G16" s="3" t="s">
        <v>41</v>
      </c>
      <c r="H16" s="3" t="s">
        <v>65</v>
      </c>
      <c r="I16" s="3">
        <v>363.9</v>
      </c>
      <c r="J16" s="3">
        <v>4</v>
      </c>
      <c r="K16" s="3">
        <v>-86.929500000000004</v>
      </c>
    </row>
    <row r="17" spans="1:11" ht="15.6" x14ac:dyDescent="0.3">
      <c r="A17" s="7">
        <v>41655</v>
      </c>
      <c r="B17" s="8">
        <f>YEAR(A17)</f>
        <v>2014</v>
      </c>
      <c r="C17" s="8">
        <f>MONTH(A17)</f>
        <v>1</v>
      </c>
      <c r="D17" s="3" t="s">
        <v>10</v>
      </c>
      <c r="E17" s="3" t="s">
        <v>26</v>
      </c>
      <c r="F17" s="3" t="s">
        <v>31</v>
      </c>
      <c r="G17" s="3" t="s">
        <v>38</v>
      </c>
      <c r="H17" s="3" t="s">
        <v>63</v>
      </c>
      <c r="I17" s="3">
        <v>616.26</v>
      </c>
      <c r="J17" s="3">
        <v>6</v>
      </c>
      <c r="K17" s="3">
        <v>12.998699999999999</v>
      </c>
    </row>
    <row r="18" spans="1:11" ht="15.6" x14ac:dyDescent="0.3">
      <c r="A18" s="7">
        <v>41656</v>
      </c>
      <c r="B18" s="8">
        <f>YEAR(A18)</f>
        <v>2014</v>
      </c>
      <c r="C18" s="8">
        <f>MONTH(A18)</f>
        <v>1</v>
      </c>
      <c r="D18" s="3" t="s">
        <v>14</v>
      </c>
      <c r="E18" s="3" t="s">
        <v>21</v>
      </c>
      <c r="F18" s="3" t="s">
        <v>29</v>
      </c>
      <c r="G18" s="3" t="s">
        <v>32</v>
      </c>
      <c r="H18" s="3" t="s">
        <v>44</v>
      </c>
      <c r="I18" s="3">
        <v>836.24</v>
      </c>
      <c r="J18" s="3">
        <v>2</v>
      </c>
      <c r="K18" s="3">
        <v>285.255</v>
      </c>
    </row>
    <row r="19" spans="1:11" ht="15.6" x14ac:dyDescent="0.3">
      <c r="A19" s="7">
        <v>41656</v>
      </c>
      <c r="B19" s="8">
        <f>YEAR(A19)</f>
        <v>2014</v>
      </c>
      <c r="C19" s="8">
        <f>MONTH(A19)</f>
        <v>1</v>
      </c>
      <c r="D19" s="3" t="s">
        <v>9</v>
      </c>
      <c r="E19" s="3" t="s">
        <v>21</v>
      </c>
      <c r="F19" s="3" t="s">
        <v>30</v>
      </c>
      <c r="G19" s="3" t="s">
        <v>33</v>
      </c>
      <c r="H19" s="3" t="s">
        <v>55</v>
      </c>
      <c r="I19" s="3">
        <v>1092.2</v>
      </c>
      <c r="J19" s="3">
        <v>7</v>
      </c>
      <c r="K19" s="3">
        <v>322.8877</v>
      </c>
    </row>
    <row r="20" spans="1:11" ht="15.6" x14ac:dyDescent="0.3">
      <c r="A20" s="7">
        <v>41657</v>
      </c>
      <c r="B20" s="8">
        <f>YEAR(A20)</f>
        <v>2014</v>
      </c>
      <c r="C20" s="8">
        <f>MONTH(A20)</f>
        <v>1</v>
      </c>
      <c r="D20" s="3" t="s">
        <v>11</v>
      </c>
      <c r="E20" s="3" t="s">
        <v>28</v>
      </c>
      <c r="F20" s="3" t="s">
        <v>30</v>
      </c>
      <c r="G20" s="3" t="s">
        <v>35</v>
      </c>
      <c r="H20" s="3" t="s">
        <v>59</v>
      </c>
      <c r="I20" s="3">
        <v>272.41000000000003</v>
      </c>
      <c r="J20" s="3">
        <v>10</v>
      </c>
      <c r="K20" s="3">
        <v>55.521000000000001</v>
      </c>
    </row>
    <row r="21" spans="1:11" ht="15.6" x14ac:dyDescent="0.3">
      <c r="A21" s="7">
        <v>41659</v>
      </c>
      <c r="B21" s="8">
        <f>YEAR(A21)</f>
        <v>2014</v>
      </c>
      <c r="C21" s="8">
        <f>MONTH(A21)</f>
        <v>1</v>
      </c>
      <c r="D21" s="3" t="s">
        <v>13</v>
      </c>
      <c r="E21" s="3" t="s">
        <v>24</v>
      </c>
      <c r="F21" s="3" t="s">
        <v>30</v>
      </c>
      <c r="G21" s="3" t="s">
        <v>35</v>
      </c>
      <c r="H21" s="3" t="s">
        <v>66</v>
      </c>
      <c r="I21" s="3">
        <v>216.05</v>
      </c>
      <c r="J21" s="3">
        <v>8</v>
      </c>
      <c r="K21" s="3">
        <v>-64.630499999999998</v>
      </c>
    </row>
    <row r="22" spans="1:11" ht="15.6" x14ac:dyDescent="0.3">
      <c r="A22" s="7">
        <v>41661</v>
      </c>
      <c r="B22" s="8">
        <f>YEAR(A22)</f>
        <v>2014</v>
      </c>
      <c r="C22" s="8">
        <f>MONTH(A22)</f>
        <v>1</v>
      </c>
      <c r="D22" s="3" t="s">
        <v>13</v>
      </c>
      <c r="E22" s="3" t="s">
        <v>20</v>
      </c>
      <c r="F22" s="3" t="s">
        <v>29</v>
      </c>
      <c r="G22" s="3" t="s">
        <v>32</v>
      </c>
      <c r="H22" s="3" t="s">
        <v>44</v>
      </c>
      <c r="I22" s="3">
        <v>546.83000000000004</v>
      </c>
      <c r="J22" s="3">
        <v>8</v>
      </c>
      <c r="K22" s="3">
        <v>107.38290000000001</v>
      </c>
    </row>
    <row r="23" spans="1:11" ht="15.6" x14ac:dyDescent="0.3">
      <c r="A23" s="7">
        <v>41662</v>
      </c>
      <c r="B23" s="8">
        <f>YEAR(A23)</f>
        <v>2014</v>
      </c>
      <c r="C23" s="8">
        <f>MONTH(A23)</f>
        <v>1</v>
      </c>
      <c r="D23" s="3" t="s">
        <v>12</v>
      </c>
      <c r="E23" s="3" t="s">
        <v>23</v>
      </c>
      <c r="F23" s="3" t="s">
        <v>29</v>
      </c>
      <c r="G23" s="3" t="s">
        <v>40</v>
      </c>
      <c r="H23" s="3" t="s">
        <v>56</v>
      </c>
      <c r="I23" s="3">
        <v>666.46</v>
      </c>
      <c r="J23" s="3">
        <v>9</v>
      </c>
      <c r="K23" s="3">
        <v>-195.91900000000001</v>
      </c>
    </row>
    <row r="24" spans="1:11" ht="15.6" x14ac:dyDescent="0.3">
      <c r="A24" s="7">
        <v>41663</v>
      </c>
      <c r="B24" s="8">
        <f>YEAR(A24)</f>
        <v>2014</v>
      </c>
      <c r="C24" s="8">
        <f>MONTH(A24)</f>
        <v>1</v>
      </c>
      <c r="D24" s="3" t="s">
        <v>13</v>
      </c>
      <c r="E24" s="3" t="s">
        <v>25</v>
      </c>
      <c r="F24" s="3" t="s">
        <v>29</v>
      </c>
      <c r="G24" s="3" t="s">
        <v>40</v>
      </c>
      <c r="H24" s="3" t="s">
        <v>61</v>
      </c>
      <c r="I24" s="3">
        <v>773.86</v>
      </c>
      <c r="J24" s="3">
        <v>3</v>
      </c>
      <c r="K24" s="3">
        <v>-16.115100000000002</v>
      </c>
    </row>
    <row r="25" spans="1:11" ht="15.6" x14ac:dyDescent="0.3">
      <c r="A25" s="7">
        <v>41665</v>
      </c>
      <c r="B25" s="8">
        <f>YEAR(A25)</f>
        <v>2014</v>
      </c>
      <c r="C25" s="8">
        <f>MONTH(A25)</f>
        <v>1</v>
      </c>
      <c r="D25" s="3" t="s">
        <v>18</v>
      </c>
      <c r="E25" s="3" t="s">
        <v>19</v>
      </c>
      <c r="F25" s="3" t="s">
        <v>30</v>
      </c>
      <c r="G25" s="3" t="s">
        <v>37</v>
      </c>
      <c r="H25" s="3" t="s">
        <v>51</v>
      </c>
      <c r="I25" s="3">
        <v>846.96</v>
      </c>
      <c r="J25" s="3">
        <v>9</v>
      </c>
      <c r="K25" s="3">
        <v>148.76560000000001</v>
      </c>
    </row>
    <row r="26" spans="1:11" ht="15.6" x14ac:dyDescent="0.3">
      <c r="A26" s="7">
        <v>41668</v>
      </c>
      <c r="B26" s="8">
        <f>YEAR(A26)</f>
        <v>2014</v>
      </c>
      <c r="C26" s="8">
        <f>MONTH(A26)</f>
        <v>1</v>
      </c>
      <c r="D26" s="3" t="s">
        <v>13</v>
      </c>
      <c r="E26" s="3" t="s">
        <v>23</v>
      </c>
      <c r="F26" s="3" t="s">
        <v>30</v>
      </c>
      <c r="G26" s="3" t="s">
        <v>35</v>
      </c>
      <c r="H26" s="3" t="s">
        <v>49</v>
      </c>
      <c r="I26" s="3">
        <v>233.01</v>
      </c>
      <c r="J26" s="3">
        <v>1</v>
      </c>
      <c r="K26" s="3">
        <v>28.4329</v>
      </c>
    </row>
    <row r="27" spans="1:11" ht="15.6" x14ac:dyDescent="0.3">
      <c r="A27" s="7">
        <v>41678</v>
      </c>
      <c r="B27" s="8">
        <f>YEAR(A27)</f>
        <v>2014</v>
      </c>
      <c r="C27" s="8">
        <f>MONTH(A27)</f>
        <v>2</v>
      </c>
      <c r="D27" s="3" t="s">
        <v>18</v>
      </c>
      <c r="E27" s="3" t="s">
        <v>28</v>
      </c>
      <c r="F27" s="3" t="s">
        <v>29</v>
      </c>
      <c r="G27" s="3" t="s">
        <v>41</v>
      </c>
      <c r="H27" s="3" t="s">
        <v>57</v>
      </c>
      <c r="I27" s="3">
        <v>310.83</v>
      </c>
      <c r="J27" s="3">
        <v>3</v>
      </c>
      <c r="K27" s="3">
        <v>3.6065999999999998</v>
      </c>
    </row>
    <row r="28" spans="1:11" ht="15.6" x14ac:dyDescent="0.3">
      <c r="A28" s="7">
        <v>41678</v>
      </c>
      <c r="B28" s="8">
        <f>YEAR(A28)</f>
        <v>2014</v>
      </c>
      <c r="C28" s="8">
        <f>MONTH(A28)</f>
        <v>2</v>
      </c>
      <c r="D28" s="3" t="s">
        <v>9</v>
      </c>
      <c r="E28" s="3" t="s">
        <v>22</v>
      </c>
      <c r="F28" s="3" t="s">
        <v>29</v>
      </c>
      <c r="G28" s="3" t="s">
        <v>41</v>
      </c>
      <c r="H28" s="3" t="s">
        <v>57</v>
      </c>
      <c r="I28" s="3">
        <v>930.76</v>
      </c>
      <c r="J28" s="3">
        <v>7</v>
      </c>
      <c r="K28" s="3">
        <v>-342.62419999999997</v>
      </c>
    </row>
    <row r="29" spans="1:11" ht="15.6" x14ac:dyDescent="0.3">
      <c r="A29" s="7">
        <v>41680</v>
      </c>
      <c r="B29" s="8">
        <f>YEAR(A29)</f>
        <v>2014</v>
      </c>
      <c r="C29" s="8">
        <f>MONTH(A29)</f>
        <v>2</v>
      </c>
      <c r="D29" s="3" t="s">
        <v>15</v>
      </c>
      <c r="E29" s="3" t="s">
        <v>24</v>
      </c>
      <c r="F29" s="3" t="s">
        <v>31</v>
      </c>
      <c r="G29" s="3" t="s">
        <v>39</v>
      </c>
      <c r="H29" s="3" t="s">
        <v>54</v>
      </c>
      <c r="I29" s="3">
        <v>911.31</v>
      </c>
      <c r="J29" s="3">
        <v>6</v>
      </c>
      <c r="K29" s="3">
        <v>-233.62909999999999</v>
      </c>
    </row>
    <row r="30" spans="1:11" ht="15.6" x14ac:dyDescent="0.3">
      <c r="A30" s="7">
        <v>41683</v>
      </c>
      <c r="B30" s="8">
        <f>YEAR(A30)</f>
        <v>2014</v>
      </c>
      <c r="C30" s="8">
        <f>MONTH(A30)</f>
        <v>2</v>
      </c>
      <c r="D30" s="3" t="s">
        <v>12</v>
      </c>
      <c r="E30" s="3" t="s">
        <v>27</v>
      </c>
      <c r="F30" s="3" t="s">
        <v>31</v>
      </c>
      <c r="G30" s="3" t="s">
        <v>34</v>
      </c>
      <c r="H30" s="3" t="s">
        <v>47</v>
      </c>
      <c r="I30" s="3">
        <v>776.25</v>
      </c>
      <c r="J30" s="3">
        <v>10</v>
      </c>
      <c r="K30" s="3">
        <v>-290.23439999999999</v>
      </c>
    </row>
    <row r="31" spans="1:11" ht="15.6" x14ac:dyDescent="0.3">
      <c r="A31" s="7">
        <v>41685</v>
      </c>
      <c r="B31" s="8">
        <f>YEAR(A31)</f>
        <v>2014</v>
      </c>
      <c r="C31" s="8">
        <f>MONTH(A31)</f>
        <v>2</v>
      </c>
      <c r="D31" s="3" t="s">
        <v>15</v>
      </c>
      <c r="E31" s="3" t="s">
        <v>19</v>
      </c>
      <c r="F31" s="3" t="s">
        <v>30</v>
      </c>
      <c r="G31" s="3" t="s">
        <v>42</v>
      </c>
      <c r="H31" s="3" t="s">
        <v>58</v>
      </c>
      <c r="I31" s="3">
        <v>227.2</v>
      </c>
      <c r="J31" s="3">
        <v>2</v>
      </c>
      <c r="K31" s="3">
        <v>-42.807699999999997</v>
      </c>
    </row>
    <row r="32" spans="1:11" ht="15.6" x14ac:dyDescent="0.3">
      <c r="A32" s="7">
        <v>41685</v>
      </c>
      <c r="B32" s="8">
        <f>YEAR(A32)</f>
        <v>2014</v>
      </c>
      <c r="C32" s="8">
        <f>MONTH(A32)</f>
        <v>2</v>
      </c>
      <c r="D32" s="3" t="s">
        <v>13</v>
      </c>
      <c r="E32" s="3" t="s">
        <v>23</v>
      </c>
      <c r="F32" s="3" t="s">
        <v>30</v>
      </c>
      <c r="G32" s="3" t="s">
        <v>33</v>
      </c>
      <c r="H32" s="3" t="s">
        <v>60</v>
      </c>
      <c r="I32" s="3">
        <v>1182.99</v>
      </c>
      <c r="J32" s="3">
        <v>7</v>
      </c>
      <c r="K32" s="3">
        <v>32.8459</v>
      </c>
    </row>
    <row r="33" spans="1:11" ht="15.6" x14ac:dyDescent="0.3">
      <c r="A33" s="7">
        <v>41694</v>
      </c>
      <c r="B33" s="8">
        <f>YEAR(A33)</f>
        <v>2014</v>
      </c>
      <c r="C33" s="8">
        <f>MONTH(A33)</f>
        <v>2</v>
      </c>
      <c r="D33" s="3" t="s">
        <v>13</v>
      </c>
      <c r="E33" s="3" t="s">
        <v>20</v>
      </c>
      <c r="F33" s="3" t="s">
        <v>30</v>
      </c>
      <c r="G33" s="3" t="s">
        <v>33</v>
      </c>
      <c r="H33" s="3" t="s">
        <v>55</v>
      </c>
      <c r="I33" s="3">
        <v>500.8</v>
      </c>
      <c r="J33" s="3">
        <v>7</v>
      </c>
      <c r="K33" s="3">
        <v>-11.7661</v>
      </c>
    </row>
    <row r="34" spans="1:11" ht="15.6" x14ac:dyDescent="0.3">
      <c r="A34" s="7">
        <v>41695</v>
      </c>
      <c r="B34" s="8">
        <f>YEAR(A34)</f>
        <v>2014</v>
      </c>
      <c r="C34" s="8">
        <f>MONTH(A34)</f>
        <v>2</v>
      </c>
      <c r="D34" s="3" t="s">
        <v>17</v>
      </c>
      <c r="E34" s="3" t="s">
        <v>19</v>
      </c>
      <c r="F34" s="3" t="s">
        <v>29</v>
      </c>
      <c r="G34" s="3" t="s">
        <v>32</v>
      </c>
      <c r="H34" s="3" t="s">
        <v>48</v>
      </c>
      <c r="I34" s="3">
        <v>347.74</v>
      </c>
      <c r="J34" s="3">
        <v>2</v>
      </c>
      <c r="K34" s="3">
        <v>-106.0204</v>
      </c>
    </row>
    <row r="35" spans="1:11" ht="15.6" x14ac:dyDescent="0.3">
      <c r="A35" s="7">
        <v>41697</v>
      </c>
      <c r="B35" s="8">
        <f>YEAR(A35)</f>
        <v>2014</v>
      </c>
      <c r="C35" s="8">
        <f>MONTH(A35)</f>
        <v>2</v>
      </c>
      <c r="D35" s="3" t="s">
        <v>14</v>
      </c>
      <c r="E35" s="3" t="s">
        <v>22</v>
      </c>
      <c r="F35" s="3" t="s">
        <v>30</v>
      </c>
      <c r="G35" s="3" t="s">
        <v>37</v>
      </c>
      <c r="H35" s="3" t="s">
        <v>64</v>
      </c>
      <c r="I35" s="3">
        <v>385.83</v>
      </c>
      <c r="J35" s="3">
        <v>2</v>
      </c>
      <c r="K35" s="3">
        <v>88.502499999999998</v>
      </c>
    </row>
    <row r="36" spans="1:11" ht="15.6" x14ac:dyDescent="0.3">
      <c r="A36" s="7">
        <v>41698</v>
      </c>
      <c r="B36" s="8">
        <f>YEAR(A36)</f>
        <v>2014</v>
      </c>
      <c r="C36" s="8">
        <f>MONTH(A36)</f>
        <v>2</v>
      </c>
      <c r="D36" s="3" t="s">
        <v>17</v>
      </c>
      <c r="E36" s="3" t="s">
        <v>26</v>
      </c>
      <c r="F36" s="3" t="s">
        <v>29</v>
      </c>
      <c r="G36" s="3" t="s">
        <v>32</v>
      </c>
      <c r="H36" s="3" t="s">
        <v>52</v>
      </c>
      <c r="I36" s="3">
        <v>595.70000000000005</v>
      </c>
      <c r="J36" s="3">
        <v>6</v>
      </c>
      <c r="K36" s="3">
        <v>-157.0385</v>
      </c>
    </row>
    <row r="37" spans="1:11" ht="15.6" x14ac:dyDescent="0.3">
      <c r="A37" s="7">
        <v>41699</v>
      </c>
      <c r="B37" s="8">
        <f>YEAR(A37)</f>
        <v>2014</v>
      </c>
      <c r="C37" s="8">
        <f>MONTH(A37)</f>
        <v>3</v>
      </c>
      <c r="D37" s="3" t="s">
        <v>9</v>
      </c>
      <c r="E37" s="3" t="s">
        <v>20</v>
      </c>
      <c r="F37" s="3" t="s">
        <v>31</v>
      </c>
      <c r="G37" s="3" t="s">
        <v>43</v>
      </c>
      <c r="H37" s="3" t="s">
        <v>68</v>
      </c>
      <c r="I37" s="3">
        <v>59.96</v>
      </c>
      <c r="J37" s="3">
        <v>1</v>
      </c>
      <c r="K37" s="3">
        <v>-10.7913</v>
      </c>
    </row>
    <row r="38" spans="1:11" ht="15.6" x14ac:dyDescent="0.3">
      <c r="A38" s="7">
        <v>41701</v>
      </c>
      <c r="B38" s="8">
        <f>YEAR(A38)</f>
        <v>2014</v>
      </c>
      <c r="C38" s="8">
        <f>MONTH(A38)</f>
        <v>3</v>
      </c>
      <c r="D38" s="3" t="s">
        <v>10</v>
      </c>
      <c r="E38" s="3" t="s">
        <v>20</v>
      </c>
      <c r="F38" s="3" t="s">
        <v>29</v>
      </c>
      <c r="G38" s="3" t="s">
        <v>32</v>
      </c>
      <c r="H38" s="3" t="s">
        <v>44</v>
      </c>
      <c r="I38" s="3">
        <v>116.97</v>
      </c>
      <c r="J38" s="3">
        <v>4</v>
      </c>
      <c r="K38" s="3">
        <v>-2.4544000000000001</v>
      </c>
    </row>
    <row r="39" spans="1:11" ht="15.6" x14ac:dyDescent="0.3">
      <c r="A39" s="7">
        <v>41701</v>
      </c>
      <c r="B39" s="8">
        <f>YEAR(A39)</f>
        <v>2014</v>
      </c>
      <c r="C39" s="8">
        <f>MONTH(A39)</f>
        <v>3</v>
      </c>
      <c r="D39" s="3" t="s">
        <v>11</v>
      </c>
      <c r="E39" s="3" t="s">
        <v>27</v>
      </c>
      <c r="F39" s="3" t="s">
        <v>30</v>
      </c>
      <c r="G39" s="3" t="s">
        <v>42</v>
      </c>
      <c r="H39" s="3" t="s">
        <v>67</v>
      </c>
      <c r="I39" s="3">
        <v>667.86</v>
      </c>
      <c r="J39" s="3">
        <v>3</v>
      </c>
      <c r="K39" s="3">
        <v>-121.5958</v>
      </c>
    </row>
    <row r="40" spans="1:11" ht="15.6" x14ac:dyDescent="0.3">
      <c r="A40" s="7">
        <v>41703</v>
      </c>
      <c r="B40" s="8">
        <f>YEAR(A40)</f>
        <v>2014</v>
      </c>
      <c r="C40" s="8">
        <f>MONTH(A40)</f>
        <v>3</v>
      </c>
      <c r="D40" s="3" t="s">
        <v>15</v>
      </c>
      <c r="E40" s="3" t="s">
        <v>24</v>
      </c>
      <c r="F40" s="3" t="s">
        <v>29</v>
      </c>
      <c r="G40" s="3" t="s">
        <v>41</v>
      </c>
      <c r="H40" s="3" t="s">
        <v>57</v>
      </c>
      <c r="I40" s="3">
        <v>1139.79</v>
      </c>
      <c r="J40" s="3">
        <v>4</v>
      </c>
      <c r="K40" s="3">
        <v>261.49250000000001</v>
      </c>
    </row>
    <row r="41" spans="1:11" ht="15.6" x14ac:dyDescent="0.3">
      <c r="A41" s="7">
        <v>41703</v>
      </c>
      <c r="B41" s="8">
        <f>YEAR(A41)</f>
        <v>2014</v>
      </c>
      <c r="C41" s="8">
        <f>MONTH(A41)</f>
        <v>3</v>
      </c>
      <c r="D41" s="3" t="s">
        <v>13</v>
      </c>
      <c r="E41" s="3" t="s">
        <v>27</v>
      </c>
      <c r="F41" s="3" t="s">
        <v>29</v>
      </c>
      <c r="G41" s="3" t="s">
        <v>40</v>
      </c>
      <c r="H41" s="3" t="s">
        <v>61</v>
      </c>
      <c r="I41" s="3">
        <v>175.62</v>
      </c>
      <c r="J41" s="3">
        <v>10</v>
      </c>
      <c r="K41" s="3">
        <v>19.066500000000001</v>
      </c>
    </row>
    <row r="42" spans="1:11" ht="15.6" x14ac:dyDescent="0.3">
      <c r="A42" s="7">
        <v>41703</v>
      </c>
      <c r="B42" s="8">
        <f>YEAR(A42)</f>
        <v>2014</v>
      </c>
      <c r="C42" s="8">
        <f>MONTH(A42)</f>
        <v>3</v>
      </c>
      <c r="D42" s="3" t="s">
        <v>15</v>
      </c>
      <c r="E42" s="3" t="s">
        <v>27</v>
      </c>
      <c r="F42" s="3" t="s">
        <v>30</v>
      </c>
      <c r="G42" s="3" t="s">
        <v>35</v>
      </c>
      <c r="H42" s="3" t="s">
        <v>66</v>
      </c>
      <c r="I42" s="3">
        <v>410.29</v>
      </c>
      <c r="J42" s="3">
        <v>7</v>
      </c>
      <c r="K42" s="3">
        <v>28.6724</v>
      </c>
    </row>
    <row r="43" spans="1:11" ht="15.6" x14ac:dyDescent="0.3">
      <c r="A43" s="7">
        <v>41704</v>
      </c>
      <c r="B43" s="8">
        <f>YEAR(A43)</f>
        <v>2014</v>
      </c>
      <c r="C43" s="8">
        <f>MONTH(A43)</f>
        <v>3</v>
      </c>
      <c r="D43" s="3" t="s">
        <v>13</v>
      </c>
      <c r="E43" s="3" t="s">
        <v>23</v>
      </c>
      <c r="F43" s="3" t="s">
        <v>31</v>
      </c>
      <c r="G43" s="3" t="s">
        <v>34</v>
      </c>
      <c r="H43" s="3" t="s">
        <v>47</v>
      </c>
      <c r="I43" s="3">
        <v>399.65</v>
      </c>
      <c r="J43" s="3">
        <v>3</v>
      </c>
      <c r="K43" s="3">
        <v>-143.06319999999999</v>
      </c>
    </row>
    <row r="44" spans="1:11" ht="15.6" x14ac:dyDescent="0.3">
      <c r="A44" s="7">
        <v>41705</v>
      </c>
      <c r="B44" s="8">
        <f>YEAR(A44)</f>
        <v>2014</v>
      </c>
      <c r="C44" s="8">
        <f>MONTH(A44)</f>
        <v>3</v>
      </c>
      <c r="D44" s="3" t="s">
        <v>15</v>
      </c>
      <c r="E44" s="3" t="s">
        <v>25</v>
      </c>
      <c r="F44" s="3" t="s">
        <v>31</v>
      </c>
      <c r="G44" s="3" t="s">
        <v>43</v>
      </c>
      <c r="H44" s="3" t="s">
        <v>62</v>
      </c>
      <c r="I44" s="3">
        <v>972.33</v>
      </c>
      <c r="J44" s="3">
        <v>7</v>
      </c>
      <c r="K44" s="3">
        <v>59.499200000000002</v>
      </c>
    </row>
    <row r="45" spans="1:11" ht="15.6" x14ac:dyDescent="0.3">
      <c r="A45" s="7">
        <v>41708</v>
      </c>
      <c r="B45" s="8">
        <f>YEAR(A45)</f>
        <v>2014</v>
      </c>
      <c r="C45" s="8">
        <f>MONTH(A45)</f>
        <v>3</v>
      </c>
      <c r="D45" s="3" t="s">
        <v>11</v>
      </c>
      <c r="E45" s="3" t="s">
        <v>24</v>
      </c>
      <c r="F45" s="3" t="s">
        <v>30</v>
      </c>
      <c r="G45" s="3" t="s">
        <v>42</v>
      </c>
      <c r="H45" s="3" t="s">
        <v>69</v>
      </c>
      <c r="I45" s="3">
        <v>538.5</v>
      </c>
      <c r="J45" s="3">
        <v>1</v>
      </c>
      <c r="K45" s="3">
        <v>-116.55800000000001</v>
      </c>
    </row>
    <row r="46" spans="1:11" ht="15.6" x14ac:dyDescent="0.3">
      <c r="A46" s="7">
        <v>41708</v>
      </c>
      <c r="B46" s="8">
        <f>YEAR(A46)</f>
        <v>2014</v>
      </c>
      <c r="C46" s="8">
        <f>MONTH(A46)</f>
        <v>3</v>
      </c>
      <c r="D46" s="3" t="s">
        <v>18</v>
      </c>
      <c r="E46" s="3" t="s">
        <v>19</v>
      </c>
      <c r="F46" s="3" t="s">
        <v>30</v>
      </c>
      <c r="G46" s="3" t="s">
        <v>37</v>
      </c>
      <c r="H46" s="3" t="s">
        <v>64</v>
      </c>
      <c r="I46" s="3">
        <v>941.83</v>
      </c>
      <c r="J46" s="3">
        <v>9</v>
      </c>
      <c r="K46" s="3">
        <v>-12.375400000000001</v>
      </c>
    </row>
    <row r="47" spans="1:11" ht="15.6" x14ac:dyDescent="0.3">
      <c r="A47" s="7">
        <v>41711</v>
      </c>
      <c r="B47" s="8">
        <f>YEAR(A47)</f>
        <v>2014</v>
      </c>
      <c r="C47" s="8">
        <f>MONTH(A47)</f>
        <v>3</v>
      </c>
      <c r="D47" s="3" t="s">
        <v>12</v>
      </c>
      <c r="E47" s="3" t="s">
        <v>25</v>
      </c>
      <c r="F47" s="3" t="s">
        <v>29</v>
      </c>
      <c r="G47" s="3" t="s">
        <v>41</v>
      </c>
      <c r="H47" s="3" t="s">
        <v>57</v>
      </c>
      <c r="I47" s="3">
        <v>797.94</v>
      </c>
      <c r="J47" s="3">
        <v>6</v>
      </c>
      <c r="K47" s="3">
        <v>198.0334</v>
      </c>
    </row>
    <row r="48" spans="1:11" ht="15.6" x14ac:dyDescent="0.3">
      <c r="A48" s="7">
        <v>41715</v>
      </c>
      <c r="B48" s="8">
        <f>YEAR(A48)</f>
        <v>2014</v>
      </c>
      <c r="C48" s="8">
        <f>MONTH(A48)</f>
        <v>3</v>
      </c>
      <c r="D48" s="3" t="s">
        <v>17</v>
      </c>
      <c r="E48" s="3" t="s">
        <v>26</v>
      </c>
      <c r="F48" s="3" t="s">
        <v>31</v>
      </c>
      <c r="G48" s="3" t="s">
        <v>38</v>
      </c>
      <c r="H48" s="3" t="s">
        <v>63</v>
      </c>
      <c r="I48" s="3">
        <v>664.15</v>
      </c>
      <c r="J48" s="3">
        <v>9</v>
      </c>
      <c r="K48" s="3">
        <v>179.6456</v>
      </c>
    </row>
    <row r="49" spans="1:11" ht="15.6" x14ac:dyDescent="0.3">
      <c r="A49" s="7">
        <v>41715</v>
      </c>
      <c r="B49" s="8">
        <f>YEAR(A49)</f>
        <v>2014</v>
      </c>
      <c r="C49" s="8">
        <f>MONTH(A49)</f>
        <v>3</v>
      </c>
      <c r="D49" s="3" t="s">
        <v>16</v>
      </c>
      <c r="E49" s="3" t="s">
        <v>28</v>
      </c>
      <c r="F49" s="3" t="s">
        <v>29</v>
      </c>
      <c r="G49" s="3" t="s">
        <v>32</v>
      </c>
      <c r="H49" s="3" t="s">
        <v>44</v>
      </c>
      <c r="I49" s="3">
        <v>410.45</v>
      </c>
      <c r="J49" s="3">
        <v>6</v>
      </c>
      <c r="K49" s="3">
        <v>78.327799999999996</v>
      </c>
    </row>
    <row r="50" spans="1:11" ht="15.6" x14ac:dyDescent="0.3">
      <c r="A50" s="7">
        <v>41715</v>
      </c>
      <c r="B50" s="8">
        <f>YEAR(A50)</f>
        <v>2014</v>
      </c>
      <c r="C50" s="8">
        <f>MONTH(A50)</f>
        <v>3</v>
      </c>
      <c r="D50" s="3" t="s">
        <v>13</v>
      </c>
      <c r="E50" s="3" t="s">
        <v>25</v>
      </c>
      <c r="F50" s="3" t="s">
        <v>31</v>
      </c>
      <c r="G50" s="3" t="s">
        <v>39</v>
      </c>
      <c r="H50" s="3" t="s">
        <v>71</v>
      </c>
      <c r="I50" s="3">
        <v>793.91</v>
      </c>
      <c r="J50" s="3">
        <v>3</v>
      </c>
      <c r="K50" s="3">
        <v>219.82050000000001</v>
      </c>
    </row>
    <row r="51" spans="1:11" ht="15.6" x14ac:dyDescent="0.3">
      <c r="A51" s="7">
        <v>41716</v>
      </c>
      <c r="B51" s="8">
        <f>YEAR(A51)</f>
        <v>2014</v>
      </c>
      <c r="C51" s="8">
        <f>MONTH(A51)</f>
        <v>3</v>
      </c>
      <c r="D51" s="3" t="s">
        <v>16</v>
      </c>
      <c r="E51" s="3" t="s">
        <v>22</v>
      </c>
      <c r="F51" s="3" t="s">
        <v>30</v>
      </c>
      <c r="G51" s="3" t="s">
        <v>35</v>
      </c>
      <c r="H51" s="3" t="s">
        <v>49</v>
      </c>
      <c r="I51" s="3">
        <v>368.72</v>
      </c>
      <c r="J51" s="3">
        <v>8</v>
      </c>
      <c r="K51" s="3">
        <v>-115.376</v>
      </c>
    </row>
    <row r="52" spans="1:11" ht="15.6" x14ac:dyDescent="0.3">
      <c r="A52" s="7">
        <v>41720</v>
      </c>
      <c r="B52" s="8">
        <f>YEAR(A52)</f>
        <v>2014</v>
      </c>
      <c r="C52" s="8">
        <f>MONTH(A52)</f>
        <v>3</v>
      </c>
      <c r="D52" s="3" t="s">
        <v>15</v>
      </c>
      <c r="E52" s="3" t="s">
        <v>20</v>
      </c>
      <c r="F52" s="3" t="s">
        <v>29</v>
      </c>
      <c r="G52" s="3" t="s">
        <v>40</v>
      </c>
      <c r="H52" s="3" t="s">
        <v>61</v>
      </c>
      <c r="I52" s="3">
        <v>301.05</v>
      </c>
      <c r="J52" s="3">
        <v>8</v>
      </c>
      <c r="K52" s="3">
        <v>103.3323</v>
      </c>
    </row>
    <row r="53" spans="1:11" ht="15.6" x14ac:dyDescent="0.3">
      <c r="A53" s="7">
        <v>41720</v>
      </c>
      <c r="B53" s="8">
        <f>YEAR(A53)</f>
        <v>2014</v>
      </c>
      <c r="C53" s="8">
        <f>MONTH(A53)</f>
        <v>3</v>
      </c>
      <c r="D53" s="3" t="s">
        <v>11</v>
      </c>
      <c r="E53" s="3" t="s">
        <v>24</v>
      </c>
      <c r="F53" s="3" t="s">
        <v>29</v>
      </c>
      <c r="G53" s="3" t="s">
        <v>40</v>
      </c>
      <c r="H53" s="3" t="s">
        <v>56</v>
      </c>
      <c r="I53" s="3">
        <v>671.45</v>
      </c>
      <c r="J53" s="3">
        <v>9</v>
      </c>
      <c r="K53" s="3">
        <v>116.7449</v>
      </c>
    </row>
    <row r="54" spans="1:11" ht="15.6" x14ac:dyDescent="0.3">
      <c r="A54" s="7">
        <v>41722</v>
      </c>
      <c r="B54" s="8">
        <f>YEAR(A54)</f>
        <v>2014</v>
      </c>
      <c r="C54" s="8">
        <f>MONTH(A54)</f>
        <v>3</v>
      </c>
      <c r="D54" s="3" t="s">
        <v>15</v>
      </c>
      <c r="E54" s="3" t="s">
        <v>25</v>
      </c>
      <c r="F54" s="3" t="s">
        <v>30</v>
      </c>
      <c r="G54" s="3" t="s">
        <v>33</v>
      </c>
      <c r="H54" s="3" t="s">
        <v>60</v>
      </c>
      <c r="I54" s="3">
        <v>59.14</v>
      </c>
      <c r="J54" s="3">
        <v>3</v>
      </c>
      <c r="K54" s="3">
        <v>7.9954000000000001</v>
      </c>
    </row>
    <row r="55" spans="1:11" ht="15.6" x14ac:dyDescent="0.3">
      <c r="A55" s="7">
        <v>41726</v>
      </c>
      <c r="B55" s="8">
        <f>YEAR(A55)</f>
        <v>2014</v>
      </c>
      <c r="C55" s="8">
        <f>MONTH(A55)</f>
        <v>3</v>
      </c>
      <c r="D55" s="3" t="s">
        <v>17</v>
      </c>
      <c r="E55" s="3" t="s">
        <v>20</v>
      </c>
      <c r="F55" s="3" t="s">
        <v>31</v>
      </c>
      <c r="G55" s="3" t="s">
        <v>43</v>
      </c>
      <c r="H55" s="3" t="s">
        <v>62</v>
      </c>
      <c r="I55" s="3">
        <v>699.39</v>
      </c>
      <c r="J55" s="3">
        <v>8</v>
      </c>
      <c r="K55" s="3">
        <v>81.342500000000001</v>
      </c>
    </row>
    <row r="56" spans="1:11" ht="15.6" x14ac:dyDescent="0.3">
      <c r="A56" s="7">
        <v>41728</v>
      </c>
      <c r="B56" s="8">
        <f>YEAR(A56)</f>
        <v>2014</v>
      </c>
      <c r="C56" s="8">
        <f>MONTH(A56)</f>
        <v>3</v>
      </c>
      <c r="D56" s="3" t="s">
        <v>13</v>
      </c>
      <c r="E56" s="3" t="s">
        <v>20</v>
      </c>
      <c r="F56" s="3" t="s">
        <v>31</v>
      </c>
      <c r="G56" s="3" t="s">
        <v>34</v>
      </c>
      <c r="H56" s="3" t="s">
        <v>47</v>
      </c>
      <c r="I56" s="3">
        <v>877.03</v>
      </c>
      <c r="J56" s="3">
        <v>9</v>
      </c>
      <c r="K56" s="3">
        <v>-268.70479999999998</v>
      </c>
    </row>
    <row r="57" spans="1:11" ht="15.6" x14ac:dyDescent="0.3">
      <c r="A57" s="7">
        <v>41728</v>
      </c>
      <c r="B57" s="8">
        <f>YEAR(A57)</f>
        <v>2014</v>
      </c>
      <c r="C57" s="8">
        <f>MONTH(A57)</f>
        <v>3</v>
      </c>
      <c r="D57" s="3" t="s">
        <v>11</v>
      </c>
      <c r="E57" s="3" t="s">
        <v>22</v>
      </c>
      <c r="F57" s="3" t="s">
        <v>29</v>
      </c>
      <c r="G57" s="3" t="s">
        <v>32</v>
      </c>
      <c r="H57" s="3" t="s">
        <v>52</v>
      </c>
      <c r="I57" s="3">
        <v>838.68</v>
      </c>
      <c r="J57" s="3">
        <v>7</v>
      </c>
      <c r="K57" s="3">
        <v>-191.12280000000001</v>
      </c>
    </row>
    <row r="58" spans="1:11" ht="15.6" x14ac:dyDescent="0.3">
      <c r="A58" s="7">
        <v>41729</v>
      </c>
      <c r="B58" s="8">
        <f>YEAR(A58)</f>
        <v>2014</v>
      </c>
      <c r="C58" s="8">
        <f>MONTH(A58)</f>
        <v>3</v>
      </c>
      <c r="D58" s="3" t="s">
        <v>11</v>
      </c>
      <c r="E58" s="3" t="s">
        <v>25</v>
      </c>
      <c r="F58" s="3" t="s">
        <v>29</v>
      </c>
      <c r="G58" s="3" t="s">
        <v>32</v>
      </c>
      <c r="H58" s="3" t="s">
        <v>44</v>
      </c>
      <c r="I58" s="3">
        <v>1105.92</v>
      </c>
      <c r="J58" s="3">
        <v>9</v>
      </c>
      <c r="K58" s="3">
        <v>-99.762200000000007</v>
      </c>
    </row>
    <row r="59" spans="1:11" ht="15.6" x14ac:dyDescent="0.3">
      <c r="A59" s="7">
        <v>41730</v>
      </c>
      <c r="B59" s="8">
        <f>YEAR(A59)</f>
        <v>2014</v>
      </c>
      <c r="C59" s="8">
        <f>MONTH(A59)</f>
        <v>4</v>
      </c>
      <c r="D59" s="3" t="s">
        <v>16</v>
      </c>
      <c r="E59" s="3" t="s">
        <v>19</v>
      </c>
      <c r="F59" s="3" t="s">
        <v>30</v>
      </c>
      <c r="G59" s="3" t="s">
        <v>33</v>
      </c>
      <c r="H59" s="3" t="s">
        <v>55</v>
      </c>
      <c r="I59" s="3">
        <v>9.24</v>
      </c>
      <c r="J59" s="3">
        <v>3</v>
      </c>
      <c r="K59" s="3">
        <v>0.71919999999999995</v>
      </c>
    </row>
    <row r="60" spans="1:11" ht="15.6" x14ac:dyDescent="0.3">
      <c r="A60" s="7">
        <v>41731</v>
      </c>
      <c r="B60" s="8">
        <f>YEAR(A60)</f>
        <v>2014</v>
      </c>
      <c r="C60" s="8">
        <f>MONTH(A60)</f>
        <v>4</v>
      </c>
      <c r="D60" s="3" t="s">
        <v>18</v>
      </c>
      <c r="E60" s="3" t="s">
        <v>28</v>
      </c>
      <c r="F60" s="3" t="s">
        <v>31</v>
      </c>
      <c r="G60" s="3" t="s">
        <v>39</v>
      </c>
      <c r="H60" s="3" t="s">
        <v>71</v>
      </c>
      <c r="I60" s="3">
        <v>973.17</v>
      </c>
      <c r="J60" s="3">
        <v>2</v>
      </c>
      <c r="K60" s="3">
        <v>-372.78359999999998</v>
      </c>
    </row>
    <row r="61" spans="1:11" ht="15.6" x14ac:dyDescent="0.3">
      <c r="A61" s="7">
        <v>41733</v>
      </c>
      <c r="B61" s="8">
        <f>YEAR(A61)</f>
        <v>2014</v>
      </c>
      <c r="C61" s="8">
        <f>MONTH(A61)</f>
        <v>4</v>
      </c>
      <c r="D61" s="3" t="s">
        <v>15</v>
      </c>
      <c r="E61" s="3" t="s">
        <v>22</v>
      </c>
      <c r="F61" s="3" t="s">
        <v>29</v>
      </c>
      <c r="G61" s="3" t="s">
        <v>41</v>
      </c>
      <c r="H61" s="3" t="s">
        <v>57</v>
      </c>
      <c r="I61" s="3">
        <v>16.559999999999999</v>
      </c>
      <c r="J61" s="3">
        <v>3</v>
      </c>
      <c r="K61" s="3">
        <v>1.6149</v>
      </c>
    </row>
    <row r="62" spans="1:11" ht="15.6" x14ac:dyDescent="0.3">
      <c r="A62" s="7">
        <v>41733</v>
      </c>
      <c r="B62" s="8">
        <f>YEAR(A62)</f>
        <v>2014</v>
      </c>
      <c r="C62" s="8">
        <f>MONTH(A62)</f>
        <v>4</v>
      </c>
      <c r="D62" s="3" t="s">
        <v>9</v>
      </c>
      <c r="E62" s="3" t="s">
        <v>24</v>
      </c>
      <c r="F62" s="3" t="s">
        <v>29</v>
      </c>
      <c r="G62" s="3" t="s">
        <v>32</v>
      </c>
      <c r="H62" s="3" t="s">
        <v>52</v>
      </c>
      <c r="I62" s="3">
        <v>403.88</v>
      </c>
      <c r="J62" s="3">
        <v>9</v>
      </c>
      <c r="K62" s="3">
        <v>82.6066</v>
      </c>
    </row>
    <row r="63" spans="1:11" ht="15.6" x14ac:dyDescent="0.3">
      <c r="A63" s="7">
        <v>41734</v>
      </c>
      <c r="B63" s="8">
        <f>YEAR(A63)</f>
        <v>2014</v>
      </c>
      <c r="C63" s="8">
        <f>MONTH(A63)</f>
        <v>4</v>
      </c>
      <c r="D63" s="3" t="s">
        <v>10</v>
      </c>
      <c r="E63" s="3" t="s">
        <v>19</v>
      </c>
      <c r="F63" s="3" t="s">
        <v>30</v>
      </c>
      <c r="G63" s="3" t="s">
        <v>42</v>
      </c>
      <c r="H63" s="3" t="s">
        <v>69</v>
      </c>
      <c r="I63" s="3">
        <v>568.76</v>
      </c>
      <c r="J63" s="3">
        <v>7</v>
      </c>
      <c r="K63" s="3">
        <v>165.03700000000001</v>
      </c>
    </row>
    <row r="64" spans="1:11" ht="15.6" x14ac:dyDescent="0.3">
      <c r="A64" s="7">
        <v>41735</v>
      </c>
      <c r="B64" s="8">
        <f>YEAR(A64)</f>
        <v>2014</v>
      </c>
      <c r="C64" s="8">
        <f>MONTH(A64)</f>
        <v>4</v>
      </c>
      <c r="D64" s="3" t="s">
        <v>11</v>
      </c>
      <c r="E64" s="3" t="s">
        <v>24</v>
      </c>
      <c r="F64" s="3" t="s">
        <v>30</v>
      </c>
      <c r="G64" s="3" t="s">
        <v>33</v>
      </c>
      <c r="H64" s="3" t="s">
        <v>55</v>
      </c>
      <c r="I64" s="3">
        <v>1109.3699999999999</v>
      </c>
      <c r="J64" s="3">
        <v>5</v>
      </c>
      <c r="K64" s="3">
        <v>304.50400000000002</v>
      </c>
    </row>
    <row r="65" spans="1:11" ht="15.6" x14ac:dyDescent="0.3">
      <c r="A65" s="7">
        <v>41739</v>
      </c>
      <c r="B65" s="8">
        <f>YEAR(A65)</f>
        <v>2014</v>
      </c>
      <c r="C65" s="8">
        <f>MONTH(A65)</f>
        <v>4</v>
      </c>
      <c r="D65" s="3" t="s">
        <v>10</v>
      </c>
      <c r="E65" s="3" t="s">
        <v>19</v>
      </c>
      <c r="F65" s="3" t="s">
        <v>29</v>
      </c>
      <c r="G65" s="3" t="s">
        <v>41</v>
      </c>
      <c r="H65" s="3" t="s">
        <v>57</v>
      </c>
      <c r="I65" s="3">
        <v>918.38</v>
      </c>
      <c r="J65" s="3">
        <v>7</v>
      </c>
      <c r="K65" s="3">
        <v>-272.6499</v>
      </c>
    </row>
    <row r="66" spans="1:11" ht="15.6" x14ac:dyDescent="0.3">
      <c r="A66" s="7">
        <v>41739</v>
      </c>
      <c r="B66" s="8">
        <f>YEAR(A66)</f>
        <v>2014</v>
      </c>
      <c r="C66" s="8">
        <f>MONTH(A66)</f>
        <v>4</v>
      </c>
      <c r="D66" s="3" t="s">
        <v>11</v>
      </c>
      <c r="E66" s="3" t="s">
        <v>22</v>
      </c>
      <c r="F66" s="3" t="s">
        <v>29</v>
      </c>
      <c r="G66" s="3" t="s">
        <v>32</v>
      </c>
      <c r="H66" s="3" t="s">
        <v>48</v>
      </c>
      <c r="I66" s="3">
        <v>714.74</v>
      </c>
      <c r="J66" s="3">
        <v>1</v>
      </c>
      <c r="K66" s="3">
        <v>68.956299999999999</v>
      </c>
    </row>
    <row r="67" spans="1:11" ht="15.6" x14ac:dyDescent="0.3">
      <c r="A67" s="7">
        <v>41740</v>
      </c>
      <c r="B67" s="8">
        <f>YEAR(A67)</f>
        <v>2014</v>
      </c>
      <c r="C67" s="8">
        <f>MONTH(A67)</f>
        <v>4</v>
      </c>
      <c r="D67" s="3" t="s">
        <v>13</v>
      </c>
      <c r="E67" s="3" t="s">
        <v>19</v>
      </c>
      <c r="F67" s="3" t="s">
        <v>31</v>
      </c>
      <c r="G67" s="3" t="s">
        <v>34</v>
      </c>
      <c r="H67" s="3" t="s">
        <v>46</v>
      </c>
      <c r="I67" s="3">
        <v>896.17</v>
      </c>
      <c r="J67" s="3">
        <v>5</v>
      </c>
      <c r="K67" s="3">
        <v>244.45140000000001</v>
      </c>
    </row>
    <row r="68" spans="1:11" ht="15.6" x14ac:dyDescent="0.3">
      <c r="A68" s="7">
        <v>41741</v>
      </c>
      <c r="B68" s="8">
        <f>YEAR(A68)</f>
        <v>2014</v>
      </c>
      <c r="C68" s="8">
        <f>MONTH(A68)</f>
        <v>4</v>
      </c>
      <c r="D68" s="3" t="s">
        <v>16</v>
      </c>
      <c r="E68" s="3" t="s">
        <v>20</v>
      </c>
      <c r="F68" s="3" t="s">
        <v>31</v>
      </c>
      <c r="G68" s="3" t="s">
        <v>39</v>
      </c>
      <c r="H68" s="3" t="s">
        <v>71</v>
      </c>
      <c r="I68" s="3">
        <v>199.67</v>
      </c>
      <c r="J68" s="3">
        <v>10</v>
      </c>
      <c r="K68" s="3">
        <v>36.913499999999999</v>
      </c>
    </row>
    <row r="69" spans="1:11" ht="15.6" x14ac:dyDescent="0.3">
      <c r="A69" s="7">
        <v>41742</v>
      </c>
      <c r="B69" s="8">
        <f>YEAR(A69)</f>
        <v>2014</v>
      </c>
      <c r="C69" s="8">
        <f>MONTH(A69)</f>
        <v>4</v>
      </c>
      <c r="D69" s="3" t="s">
        <v>14</v>
      </c>
      <c r="E69" s="3" t="s">
        <v>25</v>
      </c>
      <c r="F69" s="3" t="s">
        <v>29</v>
      </c>
      <c r="G69" s="3" t="s">
        <v>40</v>
      </c>
      <c r="H69" s="3" t="s">
        <v>56</v>
      </c>
      <c r="I69" s="3">
        <v>671.1</v>
      </c>
      <c r="J69" s="3">
        <v>2</v>
      </c>
      <c r="K69" s="3">
        <v>-38.691400000000002</v>
      </c>
    </row>
    <row r="70" spans="1:11" ht="15.6" x14ac:dyDescent="0.3">
      <c r="A70" s="7">
        <v>41743</v>
      </c>
      <c r="B70" s="8">
        <f>YEAR(A70)</f>
        <v>2014</v>
      </c>
      <c r="C70" s="8">
        <f>MONTH(A70)</f>
        <v>4</v>
      </c>
      <c r="D70" s="3" t="s">
        <v>14</v>
      </c>
      <c r="E70" s="3" t="s">
        <v>20</v>
      </c>
      <c r="F70" s="3" t="s">
        <v>31</v>
      </c>
      <c r="G70" s="3" t="s">
        <v>38</v>
      </c>
      <c r="H70" s="3" t="s">
        <v>63</v>
      </c>
      <c r="I70" s="3">
        <v>784.31</v>
      </c>
      <c r="J70" s="3">
        <v>9</v>
      </c>
      <c r="K70" s="3">
        <v>178.05459999999999</v>
      </c>
    </row>
    <row r="71" spans="1:11" ht="15.6" x14ac:dyDescent="0.3">
      <c r="A71" s="7">
        <v>41743</v>
      </c>
      <c r="B71" s="8">
        <f>YEAR(A71)</f>
        <v>2014</v>
      </c>
      <c r="C71" s="8">
        <f>MONTH(A71)</f>
        <v>4</v>
      </c>
      <c r="D71" s="3" t="s">
        <v>16</v>
      </c>
      <c r="E71" s="3" t="s">
        <v>25</v>
      </c>
      <c r="F71" s="3" t="s">
        <v>30</v>
      </c>
      <c r="G71" s="3" t="s">
        <v>35</v>
      </c>
      <c r="H71" s="3" t="s">
        <v>49</v>
      </c>
      <c r="I71" s="3">
        <v>805.45</v>
      </c>
      <c r="J71" s="3">
        <v>9</v>
      </c>
      <c r="K71" s="3">
        <v>-185.8546</v>
      </c>
    </row>
    <row r="72" spans="1:11" ht="15.6" x14ac:dyDescent="0.3">
      <c r="A72" s="7">
        <v>41744</v>
      </c>
      <c r="B72" s="8">
        <f>YEAR(A72)</f>
        <v>2014</v>
      </c>
      <c r="C72" s="8">
        <f>MONTH(A72)</f>
        <v>4</v>
      </c>
      <c r="D72" s="3" t="s">
        <v>18</v>
      </c>
      <c r="E72" s="3" t="s">
        <v>25</v>
      </c>
      <c r="F72" s="3" t="s">
        <v>30</v>
      </c>
      <c r="G72" s="3" t="s">
        <v>35</v>
      </c>
      <c r="H72" s="3" t="s">
        <v>66</v>
      </c>
      <c r="I72" s="3">
        <v>929.52</v>
      </c>
      <c r="J72" s="3">
        <v>10</v>
      </c>
      <c r="K72" s="3">
        <v>215.9786</v>
      </c>
    </row>
    <row r="73" spans="1:11" ht="15.6" x14ac:dyDescent="0.3">
      <c r="A73" s="7">
        <v>41745</v>
      </c>
      <c r="B73" s="8">
        <f>YEAR(A73)</f>
        <v>2014</v>
      </c>
      <c r="C73" s="8">
        <f>MONTH(A73)</f>
        <v>4</v>
      </c>
      <c r="D73" s="3" t="s">
        <v>17</v>
      </c>
      <c r="E73" s="3" t="s">
        <v>25</v>
      </c>
      <c r="F73" s="3" t="s">
        <v>30</v>
      </c>
      <c r="G73" s="3" t="s">
        <v>35</v>
      </c>
      <c r="H73" s="3" t="s">
        <v>49</v>
      </c>
      <c r="I73" s="3">
        <v>506.4</v>
      </c>
      <c r="J73" s="3">
        <v>5</v>
      </c>
      <c r="K73" s="3">
        <v>74.755399999999995</v>
      </c>
    </row>
    <row r="74" spans="1:11" ht="15.6" x14ac:dyDescent="0.3">
      <c r="A74" s="7">
        <v>41746</v>
      </c>
      <c r="B74" s="8">
        <f>YEAR(A74)</f>
        <v>2014</v>
      </c>
      <c r="C74" s="8">
        <f>MONTH(A74)</f>
        <v>4</v>
      </c>
      <c r="D74" s="3" t="s">
        <v>13</v>
      </c>
      <c r="E74" s="3" t="s">
        <v>25</v>
      </c>
      <c r="F74" s="3" t="s">
        <v>30</v>
      </c>
      <c r="G74" s="3" t="s">
        <v>35</v>
      </c>
      <c r="H74" s="3" t="s">
        <v>66</v>
      </c>
      <c r="I74" s="3">
        <v>771.21</v>
      </c>
      <c r="J74" s="3">
        <v>6</v>
      </c>
      <c r="K74" s="3">
        <v>12.266500000000001</v>
      </c>
    </row>
    <row r="75" spans="1:11" ht="15.6" x14ac:dyDescent="0.3">
      <c r="A75" s="7">
        <v>41746</v>
      </c>
      <c r="B75" s="8">
        <f>YEAR(A75)</f>
        <v>2014</v>
      </c>
      <c r="C75" s="8">
        <f>MONTH(A75)</f>
        <v>4</v>
      </c>
      <c r="D75" s="3" t="s">
        <v>15</v>
      </c>
      <c r="E75" s="3" t="s">
        <v>23</v>
      </c>
      <c r="F75" s="3" t="s">
        <v>30</v>
      </c>
      <c r="G75" s="3" t="s">
        <v>37</v>
      </c>
      <c r="H75" s="3" t="s">
        <v>64</v>
      </c>
      <c r="I75" s="3">
        <v>478.63</v>
      </c>
      <c r="J75" s="3">
        <v>5</v>
      </c>
      <c r="K75" s="3">
        <v>69.157899999999998</v>
      </c>
    </row>
    <row r="76" spans="1:11" ht="15.6" x14ac:dyDescent="0.3">
      <c r="A76" s="7">
        <v>41746</v>
      </c>
      <c r="B76" s="8">
        <f>YEAR(A76)</f>
        <v>2014</v>
      </c>
      <c r="C76" s="8">
        <f>MONTH(A76)</f>
        <v>4</v>
      </c>
      <c r="D76" s="3" t="s">
        <v>13</v>
      </c>
      <c r="E76" s="3" t="s">
        <v>27</v>
      </c>
      <c r="F76" s="3" t="s">
        <v>31</v>
      </c>
      <c r="G76" s="3" t="s">
        <v>36</v>
      </c>
      <c r="H76" s="3" t="s">
        <v>70</v>
      </c>
      <c r="I76" s="3">
        <v>247.06</v>
      </c>
      <c r="J76" s="3">
        <v>10</v>
      </c>
      <c r="K76" s="3">
        <v>9.7643000000000004</v>
      </c>
    </row>
    <row r="77" spans="1:11" ht="15.6" x14ac:dyDescent="0.3">
      <c r="A77" s="7">
        <v>41747</v>
      </c>
      <c r="B77" s="8">
        <f>YEAR(A77)</f>
        <v>2014</v>
      </c>
      <c r="C77" s="8">
        <f>MONTH(A77)</f>
        <v>4</v>
      </c>
      <c r="D77" s="3" t="s">
        <v>16</v>
      </c>
      <c r="E77" s="3" t="s">
        <v>27</v>
      </c>
      <c r="F77" s="3" t="s">
        <v>29</v>
      </c>
      <c r="G77" s="3" t="s">
        <v>40</v>
      </c>
      <c r="H77" s="3" t="s">
        <v>61</v>
      </c>
      <c r="I77" s="3">
        <v>190.92</v>
      </c>
      <c r="J77" s="3">
        <v>10</v>
      </c>
      <c r="K77" s="3">
        <v>-69.242500000000007</v>
      </c>
    </row>
    <row r="78" spans="1:11" ht="15.6" x14ac:dyDescent="0.3">
      <c r="A78" s="7">
        <v>41747</v>
      </c>
      <c r="B78" s="8">
        <f>YEAR(A78)</f>
        <v>2014</v>
      </c>
      <c r="C78" s="8">
        <f>MONTH(A78)</f>
        <v>4</v>
      </c>
      <c r="D78" s="3" t="s">
        <v>15</v>
      </c>
      <c r="E78" s="3" t="s">
        <v>19</v>
      </c>
      <c r="F78" s="3" t="s">
        <v>29</v>
      </c>
      <c r="G78" s="3" t="s">
        <v>32</v>
      </c>
      <c r="H78" s="3" t="s">
        <v>44</v>
      </c>
      <c r="I78" s="3">
        <v>205.28</v>
      </c>
      <c r="J78" s="3">
        <v>7</v>
      </c>
      <c r="K78" s="3">
        <v>-8.7912999999999997</v>
      </c>
    </row>
    <row r="79" spans="1:11" ht="15.6" x14ac:dyDescent="0.3">
      <c r="A79" s="7">
        <v>41748</v>
      </c>
      <c r="B79" s="8">
        <f>YEAR(A79)</f>
        <v>2014</v>
      </c>
      <c r="C79" s="8">
        <f>MONTH(A79)</f>
        <v>4</v>
      </c>
      <c r="D79" s="3" t="s">
        <v>18</v>
      </c>
      <c r="E79" s="3" t="s">
        <v>20</v>
      </c>
      <c r="F79" s="3" t="s">
        <v>29</v>
      </c>
      <c r="G79" s="3" t="s">
        <v>40</v>
      </c>
      <c r="H79" s="3" t="s">
        <v>56</v>
      </c>
      <c r="I79" s="3">
        <v>1084.78</v>
      </c>
      <c r="J79" s="3">
        <v>9</v>
      </c>
      <c r="K79" s="3">
        <v>199.48599999999999</v>
      </c>
    </row>
    <row r="80" spans="1:11" ht="15.6" x14ac:dyDescent="0.3">
      <c r="A80" s="7">
        <v>41748</v>
      </c>
      <c r="B80" s="8">
        <f>YEAR(A80)</f>
        <v>2014</v>
      </c>
      <c r="C80" s="8">
        <f>MONTH(A80)</f>
        <v>4</v>
      </c>
      <c r="D80" s="3" t="s">
        <v>12</v>
      </c>
      <c r="E80" s="3" t="s">
        <v>21</v>
      </c>
      <c r="F80" s="3" t="s">
        <v>29</v>
      </c>
      <c r="G80" s="3" t="s">
        <v>40</v>
      </c>
      <c r="H80" s="3" t="s">
        <v>56</v>
      </c>
      <c r="I80" s="3">
        <v>230.76</v>
      </c>
      <c r="J80" s="3">
        <v>1</v>
      </c>
      <c r="K80" s="3">
        <v>-52.521999999999998</v>
      </c>
    </row>
    <row r="81" spans="1:11" ht="15.6" x14ac:dyDescent="0.3">
      <c r="A81" s="7">
        <v>41750</v>
      </c>
      <c r="B81" s="8">
        <f>YEAR(A81)</f>
        <v>2014</v>
      </c>
      <c r="C81" s="8">
        <f>MONTH(A81)</f>
        <v>4</v>
      </c>
      <c r="D81" s="3" t="s">
        <v>10</v>
      </c>
      <c r="E81" s="3" t="s">
        <v>23</v>
      </c>
      <c r="F81" s="3" t="s">
        <v>31</v>
      </c>
      <c r="G81" s="3" t="s">
        <v>43</v>
      </c>
      <c r="H81" s="3" t="s">
        <v>62</v>
      </c>
      <c r="I81" s="3">
        <v>633.25</v>
      </c>
      <c r="J81" s="3">
        <v>7</v>
      </c>
      <c r="K81" s="3">
        <v>-26.1279</v>
      </c>
    </row>
    <row r="82" spans="1:11" ht="15.6" x14ac:dyDescent="0.3">
      <c r="A82" s="7">
        <v>41750</v>
      </c>
      <c r="B82" s="8">
        <f>YEAR(A82)</f>
        <v>2014</v>
      </c>
      <c r="C82" s="8">
        <f>MONTH(A82)</f>
        <v>4</v>
      </c>
      <c r="D82" s="3" t="s">
        <v>17</v>
      </c>
      <c r="E82" s="3" t="s">
        <v>19</v>
      </c>
      <c r="F82" s="3" t="s">
        <v>29</v>
      </c>
      <c r="G82" s="3" t="s">
        <v>40</v>
      </c>
      <c r="H82" s="3" t="s">
        <v>56</v>
      </c>
      <c r="I82" s="3">
        <v>369.22</v>
      </c>
      <c r="J82" s="3">
        <v>1</v>
      </c>
      <c r="K82" s="3">
        <v>-59.264499999999998</v>
      </c>
    </row>
    <row r="83" spans="1:11" ht="15.6" x14ac:dyDescent="0.3">
      <c r="A83" s="7">
        <v>41751</v>
      </c>
      <c r="B83" s="8">
        <f>YEAR(A83)</f>
        <v>2014</v>
      </c>
      <c r="C83" s="8">
        <f>MONTH(A83)</f>
        <v>4</v>
      </c>
      <c r="D83" s="3" t="s">
        <v>15</v>
      </c>
      <c r="E83" s="3" t="s">
        <v>25</v>
      </c>
      <c r="F83" s="3" t="s">
        <v>29</v>
      </c>
      <c r="G83" s="3" t="s">
        <v>41</v>
      </c>
      <c r="H83" s="3" t="s">
        <v>57</v>
      </c>
      <c r="I83" s="3">
        <v>295.44</v>
      </c>
      <c r="J83" s="3">
        <v>10</v>
      </c>
      <c r="K83" s="3">
        <v>87.168800000000005</v>
      </c>
    </row>
    <row r="84" spans="1:11" ht="15.6" x14ac:dyDescent="0.3">
      <c r="A84" s="7">
        <v>41752</v>
      </c>
      <c r="B84" s="8">
        <f>YEAR(A84)</f>
        <v>2014</v>
      </c>
      <c r="C84" s="8">
        <f>MONTH(A84)</f>
        <v>4</v>
      </c>
      <c r="D84" s="3" t="s">
        <v>9</v>
      </c>
      <c r="E84" s="3" t="s">
        <v>22</v>
      </c>
      <c r="F84" s="3" t="s">
        <v>30</v>
      </c>
      <c r="G84" s="3" t="s">
        <v>33</v>
      </c>
      <c r="H84" s="3" t="s">
        <v>60</v>
      </c>
      <c r="I84" s="3">
        <v>374.6</v>
      </c>
      <c r="J84" s="3">
        <v>3</v>
      </c>
      <c r="K84" s="3">
        <v>-116.2825</v>
      </c>
    </row>
    <row r="85" spans="1:11" ht="15.6" x14ac:dyDescent="0.3">
      <c r="A85" s="7">
        <v>41752</v>
      </c>
      <c r="B85" s="8">
        <f>YEAR(A85)</f>
        <v>2014</v>
      </c>
      <c r="C85" s="8">
        <f>MONTH(A85)</f>
        <v>4</v>
      </c>
      <c r="D85" s="3" t="s">
        <v>14</v>
      </c>
      <c r="E85" s="3" t="s">
        <v>20</v>
      </c>
      <c r="F85" s="3" t="s">
        <v>29</v>
      </c>
      <c r="G85" s="3" t="s">
        <v>32</v>
      </c>
      <c r="H85" s="3" t="s">
        <v>48</v>
      </c>
      <c r="I85" s="3">
        <v>620.11</v>
      </c>
      <c r="J85" s="3">
        <v>6</v>
      </c>
      <c r="K85" s="3">
        <v>164.93899999999999</v>
      </c>
    </row>
    <row r="86" spans="1:11" ht="15.6" x14ac:dyDescent="0.3">
      <c r="A86" s="7">
        <v>41752</v>
      </c>
      <c r="B86" s="8">
        <f>YEAR(A86)</f>
        <v>2014</v>
      </c>
      <c r="C86" s="8">
        <f>MONTH(A86)</f>
        <v>4</v>
      </c>
      <c r="D86" s="3" t="s">
        <v>14</v>
      </c>
      <c r="E86" s="3" t="s">
        <v>28</v>
      </c>
      <c r="F86" s="3" t="s">
        <v>31</v>
      </c>
      <c r="G86" s="3" t="s">
        <v>39</v>
      </c>
      <c r="H86" s="3" t="s">
        <v>71</v>
      </c>
      <c r="I86" s="3">
        <v>731.74</v>
      </c>
      <c r="J86" s="3">
        <v>4</v>
      </c>
      <c r="K86" s="3">
        <v>27.4941</v>
      </c>
    </row>
    <row r="87" spans="1:11" ht="15.6" x14ac:dyDescent="0.3">
      <c r="A87" s="7">
        <v>41753</v>
      </c>
      <c r="B87" s="8">
        <f>YEAR(A87)</f>
        <v>2014</v>
      </c>
      <c r="C87" s="8">
        <f>MONTH(A87)</f>
        <v>4</v>
      </c>
      <c r="D87" s="3" t="s">
        <v>14</v>
      </c>
      <c r="E87" s="3" t="s">
        <v>26</v>
      </c>
      <c r="F87" s="3" t="s">
        <v>31</v>
      </c>
      <c r="G87" s="3" t="s">
        <v>39</v>
      </c>
      <c r="H87" s="3" t="s">
        <v>71</v>
      </c>
      <c r="I87" s="3">
        <v>546.85</v>
      </c>
      <c r="J87" s="3">
        <v>9</v>
      </c>
      <c r="K87" s="3">
        <v>-48.358800000000002</v>
      </c>
    </row>
    <row r="88" spans="1:11" ht="15.6" x14ac:dyDescent="0.3">
      <c r="A88" s="7">
        <v>41754</v>
      </c>
      <c r="B88" s="8">
        <f>YEAR(A88)</f>
        <v>2014</v>
      </c>
      <c r="C88" s="8">
        <f>MONTH(A88)</f>
        <v>4</v>
      </c>
      <c r="D88" s="3" t="s">
        <v>17</v>
      </c>
      <c r="E88" s="3" t="s">
        <v>22</v>
      </c>
      <c r="F88" s="3" t="s">
        <v>30</v>
      </c>
      <c r="G88" s="3" t="s">
        <v>42</v>
      </c>
      <c r="H88" s="3" t="s">
        <v>58</v>
      </c>
      <c r="I88" s="3">
        <v>673.31</v>
      </c>
      <c r="J88" s="3">
        <v>5</v>
      </c>
      <c r="K88" s="3">
        <v>159.87540000000001</v>
      </c>
    </row>
    <row r="89" spans="1:11" ht="15.6" x14ac:dyDescent="0.3">
      <c r="A89" s="7">
        <v>41755</v>
      </c>
      <c r="B89" s="8">
        <f>YEAR(A89)</f>
        <v>2014</v>
      </c>
      <c r="C89" s="8">
        <f>MONTH(A89)</f>
        <v>4</v>
      </c>
      <c r="D89" s="3" t="s">
        <v>11</v>
      </c>
      <c r="E89" s="3" t="s">
        <v>22</v>
      </c>
      <c r="F89" s="3" t="s">
        <v>31</v>
      </c>
      <c r="G89" s="3" t="s">
        <v>43</v>
      </c>
      <c r="H89" s="3" t="s">
        <v>62</v>
      </c>
      <c r="I89" s="3">
        <v>172.46</v>
      </c>
      <c r="J89" s="3">
        <v>5</v>
      </c>
      <c r="K89" s="3">
        <v>-38.696399999999997</v>
      </c>
    </row>
    <row r="90" spans="1:11" ht="15.6" x14ac:dyDescent="0.3">
      <c r="A90" s="7">
        <v>41757</v>
      </c>
      <c r="B90" s="8">
        <f>YEAR(A90)</f>
        <v>2014</v>
      </c>
      <c r="C90" s="8">
        <f>MONTH(A90)</f>
        <v>4</v>
      </c>
      <c r="D90" s="3" t="s">
        <v>13</v>
      </c>
      <c r="E90" s="3" t="s">
        <v>22</v>
      </c>
      <c r="F90" s="3" t="s">
        <v>29</v>
      </c>
      <c r="G90" s="3" t="s">
        <v>40</v>
      </c>
      <c r="H90" s="3" t="s">
        <v>56</v>
      </c>
      <c r="I90" s="3">
        <v>1135.1300000000001</v>
      </c>
      <c r="J90" s="3">
        <v>3</v>
      </c>
      <c r="K90" s="3">
        <v>91.058400000000006</v>
      </c>
    </row>
    <row r="91" spans="1:11" ht="15.6" x14ac:dyDescent="0.3">
      <c r="A91" s="7">
        <v>41758</v>
      </c>
      <c r="B91" s="8">
        <f>YEAR(A91)</f>
        <v>2014</v>
      </c>
      <c r="C91" s="8">
        <f>MONTH(A91)</f>
        <v>4</v>
      </c>
      <c r="D91" s="3" t="s">
        <v>14</v>
      </c>
      <c r="E91" s="3" t="s">
        <v>23</v>
      </c>
      <c r="F91" s="3" t="s">
        <v>29</v>
      </c>
      <c r="G91" s="3" t="s">
        <v>41</v>
      </c>
      <c r="H91" s="3" t="s">
        <v>65</v>
      </c>
      <c r="I91" s="3">
        <v>677.05</v>
      </c>
      <c r="J91" s="3">
        <v>7</v>
      </c>
      <c r="K91" s="3">
        <v>12.1632</v>
      </c>
    </row>
    <row r="92" spans="1:11" ht="15.6" x14ac:dyDescent="0.3">
      <c r="A92" s="7">
        <v>41759</v>
      </c>
      <c r="B92" s="8">
        <f>YEAR(A92)</f>
        <v>2014</v>
      </c>
      <c r="C92" s="8">
        <f>MONTH(A92)</f>
        <v>4</v>
      </c>
      <c r="D92" s="3" t="s">
        <v>18</v>
      </c>
      <c r="E92" s="3" t="s">
        <v>25</v>
      </c>
      <c r="F92" s="3" t="s">
        <v>30</v>
      </c>
      <c r="G92" s="3" t="s">
        <v>37</v>
      </c>
      <c r="H92" s="3" t="s">
        <v>64</v>
      </c>
      <c r="I92" s="3">
        <v>697.12</v>
      </c>
      <c r="J92" s="3">
        <v>9</v>
      </c>
      <c r="K92" s="3">
        <v>-246.9769</v>
      </c>
    </row>
    <row r="93" spans="1:11" ht="15.6" x14ac:dyDescent="0.3">
      <c r="A93" s="7">
        <v>41759</v>
      </c>
      <c r="B93" s="8">
        <f>YEAR(A93)</f>
        <v>2014</v>
      </c>
      <c r="C93" s="8">
        <f>MONTH(A93)</f>
        <v>4</v>
      </c>
      <c r="D93" s="3" t="s">
        <v>11</v>
      </c>
      <c r="E93" s="3" t="s">
        <v>26</v>
      </c>
      <c r="F93" s="3" t="s">
        <v>31</v>
      </c>
      <c r="G93" s="3" t="s">
        <v>43</v>
      </c>
      <c r="H93" s="3" t="s">
        <v>62</v>
      </c>
      <c r="I93" s="3">
        <v>361.14</v>
      </c>
      <c r="J93" s="3">
        <v>2</v>
      </c>
      <c r="K93" s="3">
        <v>-57.7712</v>
      </c>
    </row>
    <row r="94" spans="1:11" ht="15.6" x14ac:dyDescent="0.3">
      <c r="A94" s="7">
        <v>41760</v>
      </c>
      <c r="B94" s="8">
        <f>YEAR(A94)</f>
        <v>2014</v>
      </c>
      <c r="C94" s="8">
        <f>MONTH(A94)</f>
        <v>5</v>
      </c>
      <c r="D94" s="3" t="s">
        <v>17</v>
      </c>
      <c r="E94" s="3" t="s">
        <v>24</v>
      </c>
      <c r="F94" s="3" t="s">
        <v>30</v>
      </c>
      <c r="G94" s="3" t="s">
        <v>42</v>
      </c>
      <c r="H94" s="3" t="s">
        <v>58</v>
      </c>
      <c r="I94" s="3">
        <v>278.58999999999997</v>
      </c>
      <c r="J94" s="3">
        <v>1</v>
      </c>
      <c r="K94" s="3">
        <v>68.178399999999996</v>
      </c>
    </row>
    <row r="95" spans="1:11" ht="15.6" x14ac:dyDescent="0.3">
      <c r="A95" s="7">
        <v>41764</v>
      </c>
      <c r="B95" s="8">
        <f>YEAR(A95)</f>
        <v>2014</v>
      </c>
      <c r="C95" s="8">
        <f>MONTH(A95)</f>
        <v>5</v>
      </c>
      <c r="D95" s="3" t="s">
        <v>18</v>
      </c>
      <c r="E95" s="3" t="s">
        <v>19</v>
      </c>
      <c r="F95" s="3" t="s">
        <v>29</v>
      </c>
      <c r="G95" s="3" t="s">
        <v>40</v>
      </c>
      <c r="H95" s="3" t="s">
        <v>61</v>
      </c>
      <c r="I95" s="3">
        <v>486.13</v>
      </c>
      <c r="J95" s="3">
        <v>6</v>
      </c>
      <c r="K95" s="3">
        <v>97.441999999999993</v>
      </c>
    </row>
    <row r="96" spans="1:11" ht="15.6" x14ac:dyDescent="0.3">
      <c r="A96" s="7">
        <v>41764</v>
      </c>
      <c r="B96" s="8">
        <f>YEAR(A96)</f>
        <v>2014</v>
      </c>
      <c r="C96" s="8">
        <f>MONTH(A96)</f>
        <v>5</v>
      </c>
      <c r="D96" s="3" t="s">
        <v>10</v>
      </c>
      <c r="E96" s="3" t="s">
        <v>24</v>
      </c>
      <c r="F96" s="3" t="s">
        <v>31</v>
      </c>
      <c r="G96" s="3" t="s">
        <v>34</v>
      </c>
      <c r="H96" s="3" t="s">
        <v>47</v>
      </c>
      <c r="I96" s="3">
        <v>670.28</v>
      </c>
      <c r="J96" s="3">
        <v>10</v>
      </c>
      <c r="K96" s="3">
        <v>174.12899999999999</v>
      </c>
    </row>
    <row r="97" spans="1:11" ht="15.6" x14ac:dyDescent="0.3">
      <c r="A97" s="7">
        <v>41766</v>
      </c>
      <c r="B97" s="8">
        <f>YEAR(A97)</f>
        <v>2014</v>
      </c>
      <c r="C97" s="8">
        <f>MONTH(A97)</f>
        <v>5</v>
      </c>
      <c r="D97" s="3" t="s">
        <v>11</v>
      </c>
      <c r="E97" s="3" t="s">
        <v>22</v>
      </c>
      <c r="F97" s="3" t="s">
        <v>31</v>
      </c>
      <c r="G97" s="3" t="s">
        <v>39</v>
      </c>
      <c r="H97" s="3" t="s">
        <v>54</v>
      </c>
      <c r="I97" s="3">
        <v>1103.3399999999999</v>
      </c>
      <c r="J97" s="3">
        <v>8</v>
      </c>
      <c r="K97" s="3">
        <v>-395.99799999999999</v>
      </c>
    </row>
    <row r="98" spans="1:11" ht="15.6" x14ac:dyDescent="0.3">
      <c r="A98" s="7">
        <v>41769</v>
      </c>
      <c r="B98" s="8">
        <f>YEAR(A98)</f>
        <v>2014</v>
      </c>
      <c r="C98" s="8">
        <f>MONTH(A98)</f>
        <v>5</v>
      </c>
      <c r="D98" s="3" t="s">
        <v>17</v>
      </c>
      <c r="E98" s="3" t="s">
        <v>21</v>
      </c>
      <c r="F98" s="3" t="s">
        <v>31</v>
      </c>
      <c r="G98" s="3" t="s">
        <v>38</v>
      </c>
      <c r="H98" s="3" t="s">
        <v>63</v>
      </c>
      <c r="I98" s="3">
        <v>764.31</v>
      </c>
      <c r="J98" s="3">
        <v>8</v>
      </c>
      <c r="K98" s="3">
        <v>215.56649999999999</v>
      </c>
    </row>
    <row r="99" spans="1:11" ht="15.6" x14ac:dyDescent="0.3">
      <c r="A99" s="7">
        <v>41769</v>
      </c>
      <c r="B99" s="8">
        <f>YEAR(A99)</f>
        <v>2014</v>
      </c>
      <c r="C99" s="8">
        <f>MONTH(A99)</f>
        <v>5</v>
      </c>
      <c r="D99" s="3" t="s">
        <v>15</v>
      </c>
      <c r="E99" s="3" t="s">
        <v>24</v>
      </c>
      <c r="F99" s="3" t="s">
        <v>30</v>
      </c>
      <c r="G99" s="3" t="s">
        <v>35</v>
      </c>
      <c r="H99" s="3" t="s">
        <v>66</v>
      </c>
      <c r="I99" s="3">
        <v>149.29</v>
      </c>
      <c r="J99" s="3">
        <v>3</v>
      </c>
      <c r="K99" s="3">
        <v>25.105</v>
      </c>
    </row>
    <row r="100" spans="1:11" ht="15.6" x14ac:dyDescent="0.3">
      <c r="A100" s="7">
        <v>41771</v>
      </c>
      <c r="B100" s="8">
        <f>YEAR(A100)</f>
        <v>2014</v>
      </c>
      <c r="C100" s="8">
        <f>MONTH(A100)</f>
        <v>5</v>
      </c>
      <c r="D100" s="3" t="s">
        <v>10</v>
      </c>
      <c r="E100" s="3" t="s">
        <v>28</v>
      </c>
      <c r="F100" s="3" t="s">
        <v>30</v>
      </c>
      <c r="G100" s="3" t="s">
        <v>35</v>
      </c>
      <c r="H100" s="3" t="s">
        <v>49</v>
      </c>
      <c r="I100" s="3">
        <v>409.01</v>
      </c>
      <c r="J100" s="3">
        <v>10</v>
      </c>
      <c r="K100" s="3">
        <v>6.3155999999999999</v>
      </c>
    </row>
    <row r="101" spans="1:11" ht="15.6" x14ac:dyDescent="0.3">
      <c r="A101" s="7">
        <v>41771</v>
      </c>
      <c r="B101" s="8">
        <f>YEAR(A101)</f>
        <v>2014</v>
      </c>
      <c r="C101" s="8">
        <f>MONTH(A101)</f>
        <v>5</v>
      </c>
      <c r="D101" s="3" t="s">
        <v>12</v>
      </c>
      <c r="E101" s="3" t="s">
        <v>23</v>
      </c>
      <c r="F101" s="3" t="s">
        <v>31</v>
      </c>
      <c r="G101" s="3" t="s">
        <v>36</v>
      </c>
      <c r="H101" s="3" t="s">
        <v>50</v>
      </c>
      <c r="I101" s="3">
        <v>762.54</v>
      </c>
      <c r="J101" s="3">
        <v>7</v>
      </c>
      <c r="K101" s="3">
        <v>-152.35470000000001</v>
      </c>
    </row>
    <row r="102" spans="1:11" ht="15.6" x14ac:dyDescent="0.3">
      <c r="A102" s="7">
        <v>41773</v>
      </c>
      <c r="B102" s="8">
        <f>YEAR(A102)</f>
        <v>2014</v>
      </c>
      <c r="C102" s="8">
        <f>MONTH(A102)</f>
        <v>5</v>
      </c>
      <c r="D102" s="3" t="s">
        <v>15</v>
      </c>
      <c r="E102" s="3" t="s">
        <v>27</v>
      </c>
      <c r="F102" s="3" t="s">
        <v>31</v>
      </c>
      <c r="G102" s="3" t="s">
        <v>36</v>
      </c>
      <c r="H102" s="3" t="s">
        <v>70</v>
      </c>
      <c r="I102" s="3">
        <v>573.02</v>
      </c>
      <c r="J102" s="3">
        <v>6</v>
      </c>
      <c r="K102" s="3">
        <v>-23.5001</v>
      </c>
    </row>
    <row r="103" spans="1:11" ht="15.6" x14ac:dyDescent="0.3">
      <c r="A103" s="7">
        <v>41773</v>
      </c>
      <c r="B103" s="8">
        <f>YEAR(A103)</f>
        <v>2014</v>
      </c>
      <c r="C103" s="8">
        <f>MONTH(A103)</f>
        <v>5</v>
      </c>
      <c r="D103" s="3" t="s">
        <v>18</v>
      </c>
      <c r="E103" s="3" t="s">
        <v>25</v>
      </c>
      <c r="F103" s="3" t="s">
        <v>29</v>
      </c>
      <c r="G103" s="3" t="s">
        <v>41</v>
      </c>
      <c r="H103" s="3" t="s">
        <v>57</v>
      </c>
      <c r="I103" s="3">
        <v>707.86</v>
      </c>
      <c r="J103" s="3">
        <v>2</v>
      </c>
      <c r="K103" s="3">
        <v>-215.49160000000001</v>
      </c>
    </row>
    <row r="104" spans="1:11" ht="15.6" x14ac:dyDescent="0.3">
      <c r="A104" s="7">
        <v>41773</v>
      </c>
      <c r="B104" s="8">
        <f>YEAR(A104)</f>
        <v>2014</v>
      </c>
      <c r="C104" s="8">
        <f>MONTH(A104)</f>
        <v>5</v>
      </c>
      <c r="D104" s="3" t="s">
        <v>14</v>
      </c>
      <c r="E104" s="3" t="s">
        <v>27</v>
      </c>
      <c r="F104" s="3" t="s">
        <v>31</v>
      </c>
      <c r="G104" s="3" t="s">
        <v>43</v>
      </c>
      <c r="H104" s="3" t="s">
        <v>68</v>
      </c>
      <c r="I104" s="3">
        <v>146.6</v>
      </c>
      <c r="J104" s="3">
        <v>3</v>
      </c>
      <c r="K104" s="3">
        <v>28.759</v>
      </c>
    </row>
    <row r="105" spans="1:11" ht="15.6" x14ac:dyDescent="0.3">
      <c r="A105" s="7">
        <v>41774</v>
      </c>
      <c r="B105" s="8">
        <f>YEAR(A105)</f>
        <v>2014</v>
      </c>
      <c r="C105" s="8">
        <f>MONTH(A105)</f>
        <v>5</v>
      </c>
      <c r="D105" s="3" t="s">
        <v>9</v>
      </c>
      <c r="E105" s="3" t="s">
        <v>20</v>
      </c>
      <c r="F105" s="3" t="s">
        <v>30</v>
      </c>
      <c r="G105" s="3" t="s">
        <v>42</v>
      </c>
      <c r="H105" s="3" t="s">
        <v>58</v>
      </c>
      <c r="I105" s="3">
        <v>256.88</v>
      </c>
      <c r="J105" s="3">
        <v>4</v>
      </c>
      <c r="K105" s="3">
        <v>63.889400000000002</v>
      </c>
    </row>
    <row r="106" spans="1:11" ht="15.6" x14ac:dyDescent="0.3">
      <c r="A106" s="7">
        <v>41778</v>
      </c>
      <c r="B106" s="8">
        <f>YEAR(A106)</f>
        <v>2014</v>
      </c>
      <c r="C106" s="8">
        <f>MONTH(A106)</f>
        <v>5</v>
      </c>
      <c r="D106" s="3" t="s">
        <v>15</v>
      </c>
      <c r="E106" s="3" t="s">
        <v>23</v>
      </c>
      <c r="F106" s="3" t="s">
        <v>29</v>
      </c>
      <c r="G106" s="3" t="s">
        <v>41</v>
      </c>
      <c r="H106" s="3" t="s">
        <v>65</v>
      </c>
      <c r="I106" s="3">
        <v>417.04</v>
      </c>
      <c r="J106" s="3">
        <v>2</v>
      </c>
      <c r="K106" s="3">
        <v>74.494200000000006</v>
      </c>
    </row>
    <row r="107" spans="1:11" ht="15.6" x14ac:dyDescent="0.3">
      <c r="A107" s="7">
        <v>41778</v>
      </c>
      <c r="B107" s="8">
        <f>YEAR(A107)</f>
        <v>2014</v>
      </c>
      <c r="C107" s="8">
        <f>MONTH(A107)</f>
        <v>5</v>
      </c>
      <c r="D107" s="3" t="s">
        <v>9</v>
      </c>
      <c r="E107" s="3" t="s">
        <v>23</v>
      </c>
      <c r="F107" s="3" t="s">
        <v>31</v>
      </c>
      <c r="G107" s="3" t="s">
        <v>34</v>
      </c>
      <c r="H107" s="3" t="s">
        <v>47</v>
      </c>
      <c r="I107" s="3">
        <v>911.34</v>
      </c>
      <c r="J107" s="3">
        <v>9</v>
      </c>
      <c r="K107" s="3">
        <v>-320.15879999999999</v>
      </c>
    </row>
    <row r="108" spans="1:11" ht="15.6" x14ac:dyDescent="0.3">
      <c r="A108" s="7">
        <v>41780</v>
      </c>
      <c r="B108" s="8">
        <f>YEAR(A108)</f>
        <v>2014</v>
      </c>
      <c r="C108" s="8">
        <f>MONTH(A108)</f>
        <v>5</v>
      </c>
      <c r="D108" s="3" t="s">
        <v>10</v>
      </c>
      <c r="E108" s="3" t="s">
        <v>23</v>
      </c>
      <c r="F108" s="3" t="s">
        <v>30</v>
      </c>
      <c r="G108" s="3" t="s">
        <v>37</v>
      </c>
      <c r="H108" s="3" t="s">
        <v>51</v>
      </c>
      <c r="I108" s="3">
        <v>279.63</v>
      </c>
      <c r="J108" s="3">
        <v>7</v>
      </c>
      <c r="K108" s="3">
        <v>-84.123900000000006</v>
      </c>
    </row>
    <row r="109" spans="1:11" ht="15.6" x14ac:dyDescent="0.3">
      <c r="A109" s="7">
        <v>41784</v>
      </c>
      <c r="B109" s="8">
        <f>YEAR(A109)</f>
        <v>2014</v>
      </c>
      <c r="C109" s="8">
        <f>MONTH(A109)</f>
        <v>5</v>
      </c>
      <c r="D109" s="3" t="s">
        <v>11</v>
      </c>
      <c r="E109" s="3" t="s">
        <v>26</v>
      </c>
      <c r="F109" s="3" t="s">
        <v>31</v>
      </c>
      <c r="G109" s="3" t="s">
        <v>38</v>
      </c>
      <c r="H109" s="3" t="s">
        <v>63</v>
      </c>
      <c r="I109" s="3">
        <v>1002.18</v>
      </c>
      <c r="J109" s="3">
        <v>2</v>
      </c>
      <c r="K109" s="3">
        <v>309.125</v>
      </c>
    </row>
    <row r="110" spans="1:11" ht="15.6" x14ac:dyDescent="0.3">
      <c r="A110" s="7">
        <v>41785</v>
      </c>
      <c r="B110" s="8">
        <f>YEAR(A110)</f>
        <v>2014</v>
      </c>
      <c r="C110" s="8">
        <f>MONTH(A110)</f>
        <v>5</v>
      </c>
      <c r="D110" s="3" t="s">
        <v>11</v>
      </c>
      <c r="E110" s="3" t="s">
        <v>24</v>
      </c>
      <c r="F110" s="3" t="s">
        <v>31</v>
      </c>
      <c r="G110" s="3" t="s">
        <v>34</v>
      </c>
      <c r="H110" s="3" t="s">
        <v>47</v>
      </c>
      <c r="I110" s="3">
        <v>826.42</v>
      </c>
      <c r="J110" s="3">
        <v>5</v>
      </c>
      <c r="K110" s="3">
        <v>157.7396</v>
      </c>
    </row>
    <row r="111" spans="1:11" ht="15.6" x14ac:dyDescent="0.3">
      <c r="A111" s="7">
        <v>41785</v>
      </c>
      <c r="B111" s="8">
        <f>YEAR(A111)</f>
        <v>2014</v>
      </c>
      <c r="C111" s="8">
        <f>MONTH(A111)</f>
        <v>5</v>
      </c>
      <c r="D111" s="3" t="s">
        <v>17</v>
      </c>
      <c r="E111" s="3" t="s">
        <v>23</v>
      </c>
      <c r="F111" s="3" t="s">
        <v>30</v>
      </c>
      <c r="G111" s="3" t="s">
        <v>37</v>
      </c>
      <c r="H111" s="3" t="s">
        <v>64</v>
      </c>
      <c r="I111" s="3">
        <v>20.64</v>
      </c>
      <c r="J111" s="3">
        <v>4</v>
      </c>
      <c r="K111" s="3">
        <v>1.895</v>
      </c>
    </row>
    <row r="112" spans="1:11" ht="15.6" x14ac:dyDescent="0.3">
      <c r="A112" s="7">
        <v>41786</v>
      </c>
      <c r="B112" s="8">
        <f>YEAR(A112)</f>
        <v>2014</v>
      </c>
      <c r="C112" s="8">
        <f>MONTH(A112)</f>
        <v>5</v>
      </c>
      <c r="D112" s="3" t="s">
        <v>15</v>
      </c>
      <c r="E112" s="3" t="s">
        <v>24</v>
      </c>
      <c r="F112" s="3" t="s">
        <v>29</v>
      </c>
      <c r="G112" s="3" t="s">
        <v>32</v>
      </c>
      <c r="H112" s="3" t="s">
        <v>48</v>
      </c>
      <c r="I112" s="3">
        <v>732.91</v>
      </c>
      <c r="J112" s="3">
        <v>3</v>
      </c>
      <c r="K112" s="3">
        <v>0.44330000000000003</v>
      </c>
    </row>
    <row r="113" spans="1:11" ht="15.6" x14ac:dyDescent="0.3">
      <c r="A113" s="7">
        <v>41786</v>
      </c>
      <c r="B113" s="8">
        <f>YEAR(A113)</f>
        <v>2014</v>
      </c>
      <c r="C113" s="8">
        <f>MONTH(A113)</f>
        <v>5</v>
      </c>
      <c r="D113" s="3" t="s">
        <v>15</v>
      </c>
      <c r="E113" s="3" t="s">
        <v>22</v>
      </c>
      <c r="F113" s="3" t="s">
        <v>29</v>
      </c>
      <c r="G113" s="3" t="s">
        <v>40</v>
      </c>
      <c r="H113" s="3" t="s">
        <v>56</v>
      </c>
      <c r="I113" s="3">
        <v>99.54</v>
      </c>
      <c r="J113" s="3">
        <v>6</v>
      </c>
      <c r="K113" s="3">
        <v>-22.778400000000001</v>
      </c>
    </row>
    <row r="114" spans="1:11" ht="15.6" x14ac:dyDescent="0.3">
      <c r="A114" s="7">
        <v>41787</v>
      </c>
      <c r="B114" s="8">
        <f>YEAR(A114)</f>
        <v>2014</v>
      </c>
      <c r="C114" s="8">
        <f>MONTH(A114)</f>
        <v>5</v>
      </c>
      <c r="D114" s="3" t="s">
        <v>14</v>
      </c>
      <c r="E114" s="3" t="s">
        <v>21</v>
      </c>
      <c r="F114" s="3" t="s">
        <v>29</v>
      </c>
      <c r="G114" s="3" t="s">
        <v>40</v>
      </c>
      <c r="H114" s="3" t="s">
        <v>56</v>
      </c>
      <c r="I114" s="3">
        <v>479.5</v>
      </c>
      <c r="J114" s="3">
        <v>1</v>
      </c>
      <c r="K114" s="3">
        <v>-34.924500000000002</v>
      </c>
    </row>
    <row r="115" spans="1:11" ht="15.6" x14ac:dyDescent="0.3">
      <c r="A115" s="7">
        <v>41787</v>
      </c>
      <c r="B115" s="8">
        <f>YEAR(A115)</f>
        <v>2014</v>
      </c>
      <c r="C115" s="8">
        <f>MONTH(A115)</f>
        <v>5</v>
      </c>
      <c r="D115" s="3" t="s">
        <v>13</v>
      </c>
      <c r="E115" s="3" t="s">
        <v>20</v>
      </c>
      <c r="F115" s="3" t="s">
        <v>30</v>
      </c>
      <c r="G115" s="3" t="s">
        <v>33</v>
      </c>
      <c r="H115" s="3" t="s">
        <v>60</v>
      </c>
      <c r="I115" s="3">
        <v>897.53</v>
      </c>
      <c r="J115" s="3">
        <v>3</v>
      </c>
      <c r="K115" s="3">
        <v>-343.02280000000002</v>
      </c>
    </row>
    <row r="116" spans="1:11" ht="15.6" x14ac:dyDescent="0.3">
      <c r="A116" s="7">
        <v>41789</v>
      </c>
      <c r="B116" s="8">
        <f>YEAR(A116)</f>
        <v>2014</v>
      </c>
      <c r="C116" s="8">
        <f>MONTH(A116)</f>
        <v>5</v>
      </c>
      <c r="D116" s="3" t="s">
        <v>16</v>
      </c>
      <c r="E116" s="3" t="s">
        <v>28</v>
      </c>
      <c r="F116" s="3" t="s">
        <v>29</v>
      </c>
      <c r="G116" s="3" t="s">
        <v>40</v>
      </c>
      <c r="H116" s="3" t="s">
        <v>56</v>
      </c>
      <c r="I116" s="3">
        <v>941.92</v>
      </c>
      <c r="J116" s="3">
        <v>6</v>
      </c>
      <c r="K116" s="3">
        <v>-5.6078999999999999</v>
      </c>
    </row>
    <row r="117" spans="1:11" ht="15.6" x14ac:dyDescent="0.3">
      <c r="A117" s="7">
        <v>41790</v>
      </c>
      <c r="B117" s="8">
        <f>YEAR(A117)</f>
        <v>2014</v>
      </c>
      <c r="C117" s="8">
        <f>MONTH(A117)</f>
        <v>5</v>
      </c>
      <c r="D117" s="3" t="s">
        <v>9</v>
      </c>
      <c r="E117" s="3" t="s">
        <v>19</v>
      </c>
      <c r="F117" s="3" t="s">
        <v>31</v>
      </c>
      <c r="G117" s="3" t="s">
        <v>38</v>
      </c>
      <c r="H117" s="3" t="s">
        <v>63</v>
      </c>
      <c r="I117" s="3">
        <v>647.47</v>
      </c>
      <c r="J117" s="3">
        <v>9</v>
      </c>
      <c r="K117" s="3">
        <v>-130.20599999999999</v>
      </c>
    </row>
    <row r="118" spans="1:11" ht="15.6" x14ac:dyDescent="0.3">
      <c r="A118" s="7">
        <v>41793</v>
      </c>
      <c r="B118" s="8">
        <f>YEAR(A118)</f>
        <v>2014</v>
      </c>
      <c r="C118" s="8">
        <f>MONTH(A118)</f>
        <v>6</v>
      </c>
      <c r="D118" s="3" t="s">
        <v>9</v>
      </c>
      <c r="E118" s="3" t="s">
        <v>27</v>
      </c>
      <c r="F118" s="3" t="s">
        <v>30</v>
      </c>
      <c r="G118" s="3" t="s">
        <v>33</v>
      </c>
      <c r="H118" s="3" t="s">
        <v>45</v>
      </c>
      <c r="I118" s="3">
        <v>658.72</v>
      </c>
      <c r="J118" s="3">
        <v>2</v>
      </c>
      <c r="K118" s="3">
        <v>-96.526899999999998</v>
      </c>
    </row>
    <row r="119" spans="1:11" ht="15.6" x14ac:dyDescent="0.3">
      <c r="A119" s="7">
        <v>41794</v>
      </c>
      <c r="B119" s="8">
        <f>YEAR(A119)</f>
        <v>2014</v>
      </c>
      <c r="C119" s="8">
        <f>MONTH(A119)</f>
        <v>6</v>
      </c>
      <c r="D119" s="3" t="s">
        <v>14</v>
      </c>
      <c r="E119" s="3" t="s">
        <v>23</v>
      </c>
      <c r="F119" s="3" t="s">
        <v>29</v>
      </c>
      <c r="G119" s="3" t="s">
        <v>40</v>
      </c>
      <c r="H119" s="3" t="s">
        <v>61</v>
      </c>
      <c r="I119" s="3">
        <v>1071.07</v>
      </c>
      <c r="J119" s="3">
        <v>9</v>
      </c>
      <c r="K119" s="3">
        <v>78.959100000000007</v>
      </c>
    </row>
    <row r="120" spans="1:11" ht="15.6" x14ac:dyDescent="0.3">
      <c r="A120" s="7">
        <v>41795</v>
      </c>
      <c r="B120" s="8">
        <f>YEAR(A120)</f>
        <v>2014</v>
      </c>
      <c r="C120" s="8">
        <f>MONTH(A120)</f>
        <v>6</v>
      </c>
      <c r="D120" s="3" t="s">
        <v>9</v>
      </c>
      <c r="E120" s="3" t="s">
        <v>22</v>
      </c>
      <c r="F120" s="3" t="s">
        <v>29</v>
      </c>
      <c r="G120" s="3" t="s">
        <v>40</v>
      </c>
      <c r="H120" s="3" t="s">
        <v>56</v>
      </c>
      <c r="I120" s="3">
        <v>667.69</v>
      </c>
      <c r="J120" s="3">
        <v>3</v>
      </c>
      <c r="K120" s="3">
        <v>-28.432500000000001</v>
      </c>
    </row>
    <row r="121" spans="1:11" ht="15.6" x14ac:dyDescent="0.3">
      <c r="A121" s="7">
        <v>41795</v>
      </c>
      <c r="B121" s="8">
        <f>YEAR(A121)</f>
        <v>2014</v>
      </c>
      <c r="C121" s="8">
        <f>MONTH(A121)</f>
        <v>6</v>
      </c>
      <c r="D121" s="3" t="s">
        <v>11</v>
      </c>
      <c r="E121" s="3" t="s">
        <v>25</v>
      </c>
      <c r="F121" s="3" t="s">
        <v>31</v>
      </c>
      <c r="G121" s="3" t="s">
        <v>43</v>
      </c>
      <c r="H121" s="3" t="s">
        <v>68</v>
      </c>
      <c r="I121" s="3">
        <v>434.12</v>
      </c>
      <c r="J121" s="3">
        <v>2</v>
      </c>
      <c r="K121" s="3">
        <v>-77.755899999999997</v>
      </c>
    </row>
    <row r="122" spans="1:11" ht="15.6" x14ac:dyDescent="0.3">
      <c r="A122" s="7">
        <v>41796</v>
      </c>
      <c r="B122" s="8">
        <f>YEAR(A122)</f>
        <v>2014</v>
      </c>
      <c r="C122" s="8">
        <f>MONTH(A122)</f>
        <v>6</v>
      </c>
      <c r="D122" s="3" t="s">
        <v>15</v>
      </c>
      <c r="E122" s="3" t="s">
        <v>25</v>
      </c>
      <c r="F122" s="3" t="s">
        <v>31</v>
      </c>
      <c r="G122" s="3" t="s">
        <v>38</v>
      </c>
      <c r="H122" s="3" t="s">
        <v>63</v>
      </c>
      <c r="I122" s="3">
        <v>794.99</v>
      </c>
      <c r="J122" s="3">
        <v>9</v>
      </c>
      <c r="K122" s="3">
        <v>139.66309999999999</v>
      </c>
    </row>
    <row r="123" spans="1:11" ht="15.6" x14ac:dyDescent="0.3">
      <c r="A123" s="7">
        <v>41797</v>
      </c>
      <c r="B123" s="8">
        <f>YEAR(A123)</f>
        <v>2014</v>
      </c>
      <c r="C123" s="8">
        <f>MONTH(A123)</f>
        <v>6</v>
      </c>
      <c r="D123" s="3" t="s">
        <v>12</v>
      </c>
      <c r="E123" s="3" t="s">
        <v>28</v>
      </c>
      <c r="F123" s="3" t="s">
        <v>31</v>
      </c>
      <c r="G123" s="3" t="s">
        <v>34</v>
      </c>
      <c r="H123" s="3" t="s">
        <v>47</v>
      </c>
      <c r="I123" s="3">
        <v>690.84</v>
      </c>
      <c r="J123" s="3">
        <v>9</v>
      </c>
      <c r="K123" s="3">
        <v>-86.208200000000005</v>
      </c>
    </row>
    <row r="124" spans="1:11" ht="15.6" x14ac:dyDescent="0.3">
      <c r="A124" s="7">
        <v>41798</v>
      </c>
      <c r="B124" s="8">
        <f>YEAR(A124)</f>
        <v>2014</v>
      </c>
      <c r="C124" s="8">
        <f>MONTH(A124)</f>
        <v>6</v>
      </c>
      <c r="D124" s="3" t="s">
        <v>18</v>
      </c>
      <c r="E124" s="3" t="s">
        <v>24</v>
      </c>
      <c r="F124" s="3" t="s">
        <v>30</v>
      </c>
      <c r="G124" s="3" t="s">
        <v>35</v>
      </c>
      <c r="H124" s="3" t="s">
        <v>49</v>
      </c>
      <c r="I124" s="3">
        <v>358.47</v>
      </c>
      <c r="J124" s="3">
        <v>2</v>
      </c>
      <c r="K124" s="3">
        <v>-6.8944000000000001</v>
      </c>
    </row>
    <row r="125" spans="1:11" ht="15.6" x14ac:dyDescent="0.3">
      <c r="A125" s="7">
        <v>41799</v>
      </c>
      <c r="B125" s="8">
        <f>YEAR(A125)</f>
        <v>2014</v>
      </c>
      <c r="C125" s="8">
        <f>MONTH(A125)</f>
        <v>6</v>
      </c>
      <c r="D125" s="3" t="s">
        <v>17</v>
      </c>
      <c r="E125" s="3" t="s">
        <v>20</v>
      </c>
      <c r="F125" s="3" t="s">
        <v>31</v>
      </c>
      <c r="G125" s="3" t="s">
        <v>43</v>
      </c>
      <c r="H125" s="3" t="s">
        <v>68</v>
      </c>
      <c r="I125" s="3">
        <v>289.41000000000003</v>
      </c>
      <c r="J125" s="3">
        <v>6</v>
      </c>
      <c r="K125" s="3">
        <v>-79.322800000000001</v>
      </c>
    </row>
    <row r="126" spans="1:11" ht="15.6" x14ac:dyDescent="0.3">
      <c r="A126" s="7">
        <v>41799</v>
      </c>
      <c r="B126" s="8">
        <f>YEAR(A126)</f>
        <v>2014</v>
      </c>
      <c r="C126" s="8">
        <f>MONTH(A126)</f>
        <v>6</v>
      </c>
      <c r="D126" s="3" t="s">
        <v>15</v>
      </c>
      <c r="E126" s="3" t="s">
        <v>21</v>
      </c>
      <c r="F126" s="3" t="s">
        <v>29</v>
      </c>
      <c r="G126" s="3" t="s">
        <v>41</v>
      </c>
      <c r="H126" s="3" t="s">
        <v>57</v>
      </c>
      <c r="I126" s="3">
        <v>888.54</v>
      </c>
      <c r="J126" s="3">
        <v>10</v>
      </c>
      <c r="K126" s="3">
        <v>202.19720000000001</v>
      </c>
    </row>
    <row r="127" spans="1:11" ht="15.6" x14ac:dyDescent="0.3">
      <c r="A127" s="7">
        <v>41800</v>
      </c>
      <c r="B127" s="8">
        <f>YEAR(A127)</f>
        <v>2014</v>
      </c>
      <c r="C127" s="8">
        <f>MONTH(A127)</f>
        <v>6</v>
      </c>
      <c r="D127" s="3" t="s">
        <v>16</v>
      </c>
      <c r="E127" s="3" t="s">
        <v>27</v>
      </c>
      <c r="F127" s="3" t="s">
        <v>30</v>
      </c>
      <c r="G127" s="3" t="s">
        <v>35</v>
      </c>
      <c r="H127" s="3" t="s">
        <v>49</v>
      </c>
      <c r="I127" s="3">
        <v>897.7</v>
      </c>
      <c r="J127" s="3">
        <v>10</v>
      </c>
      <c r="K127" s="3">
        <v>-184.4879</v>
      </c>
    </row>
    <row r="128" spans="1:11" ht="15.6" x14ac:dyDescent="0.3">
      <c r="A128" s="7">
        <v>41801</v>
      </c>
      <c r="B128" s="8">
        <f>YEAR(A128)</f>
        <v>2014</v>
      </c>
      <c r="C128" s="8">
        <f>MONTH(A128)</f>
        <v>6</v>
      </c>
      <c r="D128" s="3" t="s">
        <v>16</v>
      </c>
      <c r="E128" s="3" t="s">
        <v>24</v>
      </c>
      <c r="F128" s="3" t="s">
        <v>30</v>
      </c>
      <c r="G128" s="3" t="s">
        <v>35</v>
      </c>
      <c r="H128" s="3" t="s">
        <v>59</v>
      </c>
      <c r="I128" s="3">
        <v>107.36</v>
      </c>
      <c r="J128" s="3">
        <v>8</v>
      </c>
      <c r="K128" s="3">
        <v>22.7622</v>
      </c>
    </row>
    <row r="129" spans="1:11" ht="15.6" x14ac:dyDescent="0.3">
      <c r="A129" s="7">
        <v>41804</v>
      </c>
      <c r="B129" s="8">
        <f>YEAR(A129)</f>
        <v>2014</v>
      </c>
      <c r="C129" s="8">
        <f>MONTH(A129)</f>
        <v>6</v>
      </c>
      <c r="D129" s="3" t="s">
        <v>16</v>
      </c>
      <c r="E129" s="3" t="s">
        <v>21</v>
      </c>
      <c r="F129" s="3" t="s">
        <v>29</v>
      </c>
      <c r="G129" s="3" t="s">
        <v>32</v>
      </c>
      <c r="H129" s="3" t="s">
        <v>52</v>
      </c>
      <c r="I129" s="3">
        <v>719.65</v>
      </c>
      <c r="J129" s="3">
        <v>7</v>
      </c>
      <c r="K129" s="3">
        <v>108.5955</v>
      </c>
    </row>
    <row r="130" spans="1:11" ht="15.6" x14ac:dyDescent="0.3">
      <c r="A130" s="7">
        <v>41805</v>
      </c>
      <c r="B130" s="8">
        <f>YEAR(A130)</f>
        <v>2014</v>
      </c>
      <c r="C130" s="8">
        <f>MONTH(A130)</f>
        <v>6</v>
      </c>
      <c r="D130" s="3" t="s">
        <v>17</v>
      </c>
      <c r="E130" s="3" t="s">
        <v>22</v>
      </c>
      <c r="F130" s="3" t="s">
        <v>30</v>
      </c>
      <c r="G130" s="3" t="s">
        <v>42</v>
      </c>
      <c r="H130" s="3" t="s">
        <v>67</v>
      </c>
      <c r="I130" s="3">
        <v>12.59</v>
      </c>
      <c r="J130" s="3">
        <v>3</v>
      </c>
      <c r="K130" s="3">
        <v>3.7090000000000001</v>
      </c>
    </row>
    <row r="131" spans="1:11" ht="15.6" x14ac:dyDescent="0.3">
      <c r="A131" s="7">
        <v>41807</v>
      </c>
      <c r="B131" s="8">
        <f>YEAR(A131)</f>
        <v>2014</v>
      </c>
      <c r="C131" s="8">
        <f>MONTH(A131)</f>
        <v>6</v>
      </c>
      <c r="D131" s="3" t="s">
        <v>16</v>
      </c>
      <c r="E131" s="3" t="s">
        <v>28</v>
      </c>
      <c r="F131" s="3" t="s">
        <v>29</v>
      </c>
      <c r="G131" s="3" t="s">
        <v>41</v>
      </c>
      <c r="H131" s="3" t="s">
        <v>57</v>
      </c>
      <c r="I131" s="3">
        <v>1010.94</v>
      </c>
      <c r="J131" s="3">
        <v>3</v>
      </c>
      <c r="K131" s="3">
        <v>271.40989999999999</v>
      </c>
    </row>
    <row r="132" spans="1:11" ht="15.6" x14ac:dyDescent="0.3">
      <c r="A132" s="7">
        <v>41811</v>
      </c>
      <c r="B132" s="8">
        <f>YEAR(A132)</f>
        <v>2014</v>
      </c>
      <c r="C132" s="8">
        <f>MONTH(A132)</f>
        <v>6</v>
      </c>
      <c r="D132" s="3" t="s">
        <v>10</v>
      </c>
      <c r="E132" s="3" t="s">
        <v>19</v>
      </c>
      <c r="F132" s="3" t="s">
        <v>31</v>
      </c>
      <c r="G132" s="3" t="s">
        <v>38</v>
      </c>
      <c r="H132" s="3" t="s">
        <v>63</v>
      </c>
      <c r="I132" s="3">
        <v>773.09</v>
      </c>
      <c r="J132" s="3">
        <v>3</v>
      </c>
      <c r="K132" s="3">
        <v>193.37960000000001</v>
      </c>
    </row>
    <row r="133" spans="1:11" ht="15.6" x14ac:dyDescent="0.3">
      <c r="A133" s="7">
        <v>41812</v>
      </c>
      <c r="B133" s="8">
        <f>YEAR(A133)</f>
        <v>2014</v>
      </c>
      <c r="C133" s="8">
        <f>MONTH(A133)</f>
        <v>6</v>
      </c>
      <c r="D133" s="3" t="s">
        <v>14</v>
      </c>
      <c r="E133" s="3" t="s">
        <v>28</v>
      </c>
      <c r="F133" s="3" t="s">
        <v>30</v>
      </c>
      <c r="G133" s="3" t="s">
        <v>42</v>
      </c>
      <c r="H133" s="3" t="s">
        <v>67</v>
      </c>
      <c r="I133" s="3">
        <v>1160.98</v>
      </c>
      <c r="J133" s="3">
        <v>10</v>
      </c>
      <c r="K133" s="3">
        <v>348.82389999999998</v>
      </c>
    </row>
    <row r="134" spans="1:11" ht="15.6" x14ac:dyDescent="0.3">
      <c r="A134" s="7">
        <v>41813</v>
      </c>
      <c r="B134" s="8">
        <f>YEAR(A134)</f>
        <v>2014</v>
      </c>
      <c r="C134" s="8">
        <f>MONTH(A134)</f>
        <v>6</v>
      </c>
      <c r="D134" s="3" t="s">
        <v>15</v>
      </c>
      <c r="E134" s="3" t="s">
        <v>28</v>
      </c>
      <c r="F134" s="3" t="s">
        <v>29</v>
      </c>
      <c r="G134" s="3" t="s">
        <v>41</v>
      </c>
      <c r="H134" s="3" t="s">
        <v>65</v>
      </c>
      <c r="I134" s="3">
        <v>808.17</v>
      </c>
      <c r="J134" s="3">
        <v>6</v>
      </c>
      <c r="K134" s="3">
        <v>-251.8288</v>
      </c>
    </row>
    <row r="135" spans="1:11" ht="15.6" x14ac:dyDescent="0.3">
      <c r="A135" s="7">
        <v>41813</v>
      </c>
      <c r="B135" s="8">
        <f>YEAR(A135)</f>
        <v>2014</v>
      </c>
      <c r="C135" s="8">
        <f>MONTH(A135)</f>
        <v>6</v>
      </c>
      <c r="D135" s="3" t="s">
        <v>16</v>
      </c>
      <c r="E135" s="3" t="s">
        <v>22</v>
      </c>
      <c r="F135" s="3" t="s">
        <v>30</v>
      </c>
      <c r="G135" s="3" t="s">
        <v>37</v>
      </c>
      <c r="H135" s="3" t="s">
        <v>51</v>
      </c>
      <c r="I135" s="3">
        <v>1062.83</v>
      </c>
      <c r="J135" s="3">
        <v>8</v>
      </c>
      <c r="K135" s="3">
        <v>161.01150000000001</v>
      </c>
    </row>
    <row r="136" spans="1:11" ht="15.6" x14ac:dyDescent="0.3">
      <c r="A136" s="7">
        <v>41813</v>
      </c>
      <c r="B136" s="8">
        <f>YEAR(A136)</f>
        <v>2014</v>
      </c>
      <c r="C136" s="8">
        <f>MONTH(A136)</f>
        <v>6</v>
      </c>
      <c r="D136" s="3" t="s">
        <v>14</v>
      </c>
      <c r="E136" s="3" t="s">
        <v>24</v>
      </c>
      <c r="F136" s="3" t="s">
        <v>29</v>
      </c>
      <c r="G136" s="3" t="s">
        <v>32</v>
      </c>
      <c r="H136" s="3" t="s">
        <v>48</v>
      </c>
      <c r="I136" s="3">
        <v>1092.9100000000001</v>
      </c>
      <c r="J136" s="3">
        <v>2</v>
      </c>
      <c r="K136" s="3">
        <v>275.09089999999998</v>
      </c>
    </row>
    <row r="137" spans="1:11" ht="15.6" x14ac:dyDescent="0.3">
      <c r="A137" s="7">
        <v>41815</v>
      </c>
      <c r="B137" s="8">
        <f>YEAR(A137)</f>
        <v>2014</v>
      </c>
      <c r="C137" s="8">
        <f>MONTH(A137)</f>
        <v>6</v>
      </c>
      <c r="D137" s="3" t="s">
        <v>18</v>
      </c>
      <c r="E137" s="3" t="s">
        <v>24</v>
      </c>
      <c r="F137" s="3" t="s">
        <v>31</v>
      </c>
      <c r="G137" s="3" t="s">
        <v>38</v>
      </c>
      <c r="H137" s="3" t="s">
        <v>53</v>
      </c>
      <c r="I137" s="3">
        <v>17.329999999999998</v>
      </c>
      <c r="J137" s="3">
        <v>3</v>
      </c>
      <c r="K137" s="3">
        <v>4.3945999999999996</v>
      </c>
    </row>
    <row r="138" spans="1:11" ht="15.6" x14ac:dyDescent="0.3">
      <c r="A138" s="7">
        <v>41816</v>
      </c>
      <c r="B138" s="8">
        <f>YEAR(A138)</f>
        <v>2014</v>
      </c>
      <c r="C138" s="8">
        <f>MONTH(A138)</f>
        <v>6</v>
      </c>
      <c r="D138" s="3" t="s">
        <v>17</v>
      </c>
      <c r="E138" s="3" t="s">
        <v>27</v>
      </c>
      <c r="F138" s="3" t="s">
        <v>31</v>
      </c>
      <c r="G138" s="3" t="s">
        <v>38</v>
      </c>
      <c r="H138" s="3" t="s">
        <v>63</v>
      </c>
      <c r="I138" s="3">
        <v>83.57</v>
      </c>
      <c r="J138" s="3">
        <v>7</v>
      </c>
      <c r="K138" s="3">
        <v>29.2241</v>
      </c>
    </row>
    <row r="139" spans="1:11" ht="15.6" x14ac:dyDescent="0.3">
      <c r="A139" s="7">
        <v>41816</v>
      </c>
      <c r="B139" s="8">
        <f>YEAR(A139)</f>
        <v>2014</v>
      </c>
      <c r="C139" s="8">
        <f>MONTH(A139)</f>
        <v>6</v>
      </c>
      <c r="D139" s="3" t="s">
        <v>14</v>
      </c>
      <c r="E139" s="3" t="s">
        <v>26</v>
      </c>
      <c r="F139" s="3" t="s">
        <v>29</v>
      </c>
      <c r="G139" s="3" t="s">
        <v>41</v>
      </c>
      <c r="H139" s="3" t="s">
        <v>57</v>
      </c>
      <c r="I139" s="3">
        <v>1028.45</v>
      </c>
      <c r="J139" s="3">
        <v>3</v>
      </c>
      <c r="K139" s="3">
        <v>-121.3892</v>
      </c>
    </row>
    <row r="140" spans="1:11" ht="15.6" x14ac:dyDescent="0.3">
      <c r="A140" s="7">
        <v>41816</v>
      </c>
      <c r="B140" s="8">
        <f>YEAR(A140)</f>
        <v>2014</v>
      </c>
      <c r="C140" s="8">
        <f>MONTH(A140)</f>
        <v>6</v>
      </c>
      <c r="D140" s="3" t="s">
        <v>15</v>
      </c>
      <c r="E140" s="3" t="s">
        <v>28</v>
      </c>
      <c r="F140" s="3" t="s">
        <v>30</v>
      </c>
      <c r="G140" s="3" t="s">
        <v>35</v>
      </c>
      <c r="H140" s="3" t="s">
        <v>66</v>
      </c>
      <c r="I140" s="3">
        <v>802.13</v>
      </c>
      <c r="J140" s="3">
        <v>3</v>
      </c>
      <c r="K140" s="3">
        <v>-216.60050000000001</v>
      </c>
    </row>
    <row r="141" spans="1:11" ht="15.6" x14ac:dyDescent="0.3">
      <c r="A141" s="7">
        <v>41818</v>
      </c>
      <c r="B141" s="8">
        <f>YEAR(A141)</f>
        <v>2014</v>
      </c>
      <c r="C141" s="8">
        <f>MONTH(A141)</f>
        <v>6</v>
      </c>
      <c r="D141" s="3" t="s">
        <v>12</v>
      </c>
      <c r="E141" s="3" t="s">
        <v>26</v>
      </c>
      <c r="F141" s="3" t="s">
        <v>31</v>
      </c>
      <c r="G141" s="3" t="s">
        <v>34</v>
      </c>
      <c r="H141" s="3" t="s">
        <v>46</v>
      </c>
      <c r="I141" s="3">
        <v>468.78</v>
      </c>
      <c r="J141" s="3">
        <v>7</v>
      </c>
      <c r="K141" s="3">
        <v>6.5819999999999999</v>
      </c>
    </row>
    <row r="142" spans="1:11" ht="15.6" x14ac:dyDescent="0.3">
      <c r="A142" s="7">
        <v>41819</v>
      </c>
      <c r="B142" s="8">
        <f>YEAR(A142)</f>
        <v>2014</v>
      </c>
      <c r="C142" s="8">
        <f>MONTH(A142)</f>
        <v>6</v>
      </c>
      <c r="D142" s="3" t="s">
        <v>12</v>
      </c>
      <c r="E142" s="3" t="s">
        <v>20</v>
      </c>
      <c r="F142" s="3" t="s">
        <v>31</v>
      </c>
      <c r="G142" s="3" t="s">
        <v>43</v>
      </c>
      <c r="H142" s="3" t="s">
        <v>68</v>
      </c>
      <c r="I142" s="3">
        <v>973.56</v>
      </c>
      <c r="J142" s="3">
        <v>6</v>
      </c>
      <c r="K142" s="3">
        <v>98.212599999999995</v>
      </c>
    </row>
    <row r="143" spans="1:11" ht="15.6" x14ac:dyDescent="0.3">
      <c r="A143" s="7">
        <v>41821</v>
      </c>
      <c r="B143" s="8">
        <f>YEAR(A143)</f>
        <v>2014</v>
      </c>
      <c r="C143" s="8">
        <f>MONTH(A143)</f>
        <v>7</v>
      </c>
      <c r="D143" s="3" t="s">
        <v>11</v>
      </c>
      <c r="E143" s="3" t="s">
        <v>28</v>
      </c>
      <c r="F143" s="3" t="s">
        <v>29</v>
      </c>
      <c r="G143" s="3" t="s">
        <v>32</v>
      </c>
      <c r="H143" s="3" t="s">
        <v>48</v>
      </c>
      <c r="I143" s="3">
        <v>1039.81</v>
      </c>
      <c r="J143" s="3">
        <v>1</v>
      </c>
      <c r="K143" s="3">
        <v>30.150400000000001</v>
      </c>
    </row>
    <row r="144" spans="1:11" ht="15.6" x14ac:dyDescent="0.3">
      <c r="A144" s="7">
        <v>41822</v>
      </c>
      <c r="B144" s="8">
        <f>YEAR(A144)</f>
        <v>2014</v>
      </c>
      <c r="C144" s="8">
        <f>MONTH(A144)</f>
        <v>7</v>
      </c>
      <c r="D144" s="3" t="s">
        <v>18</v>
      </c>
      <c r="E144" s="3" t="s">
        <v>27</v>
      </c>
      <c r="F144" s="3" t="s">
        <v>30</v>
      </c>
      <c r="G144" s="3" t="s">
        <v>42</v>
      </c>
      <c r="H144" s="3" t="s">
        <v>69</v>
      </c>
      <c r="I144" s="3">
        <v>1088.72</v>
      </c>
      <c r="J144" s="3">
        <v>10</v>
      </c>
      <c r="K144" s="3">
        <v>110.79519999999999</v>
      </c>
    </row>
    <row r="145" spans="1:11" ht="15.6" x14ac:dyDescent="0.3">
      <c r="A145" s="7">
        <v>41824</v>
      </c>
      <c r="B145" s="8">
        <f>YEAR(A145)</f>
        <v>2014</v>
      </c>
      <c r="C145" s="8">
        <f>MONTH(A145)</f>
        <v>7</v>
      </c>
      <c r="D145" s="3" t="s">
        <v>12</v>
      </c>
      <c r="E145" s="3" t="s">
        <v>28</v>
      </c>
      <c r="F145" s="3" t="s">
        <v>29</v>
      </c>
      <c r="G145" s="3" t="s">
        <v>41</v>
      </c>
      <c r="H145" s="3" t="s">
        <v>57</v>
      </c>
      <c r="I145" s="3">
        <v>185.07</v>
      </c>
      <c r="J145" s="3">
        <v>8</v>
      </c>
      <c r="K145" s="3">
        <v>-43.881799999999998</v>
      </c>
    </row>
    <row r="146" spans="1:11" ht="15.6" x14ac:dyDescent="0.3">
      <c r="A146" s="7">
        <v>41824</v>
      </c>
      <c r="B146" s="8">
        <f>YEAR(A146)</f>
        <v>2014</v>
      </c>
      <c r="C146" s="8">
        <f>MONTH(A146)</f>
        <v>7</v>
      </c>
      <c r="D146" s="3" t="s">
        <v>10</v>
      </c>
      <c r="E146" s="3" t="s">
        <v>26</v>
      </c>
      <c r="F146" s="3" t="s">
        <v>29</v>
      </c>
      <c r="G146" s="3" t="s">
        <v>32</v>
      </c>
      <c r="H146" s="3" t="s">
        <v>52</v>
      </c>
      <c r="I146" s="3">
        <v>289.5</v>
      </c>
      <c r="J146" s="3">
        <v>2</v>
      </c>
      <c r="K146" s="3">
        <v>52.079099999999997</v>
      </c>
    </row>
    <row r="147" spans="1:11" ht="15.6" x14ac:dyDescent="0.3">
      <c r="A147" s="7">
        <v>41826</v>
      </c>
      <c r="B147" s="8">
        <f>YEAR(A147)</f>
        <v>2014</v>
      </c>
      <c r="C147" s="8">
        <f>MONTH(A147)</f>
        <v>7</v>
      </c>
      <c r="D147" s="3" t="s">
        <v>16</v>
      </c>
      <c r="E147" s="3" t="s">
        <v>27</v>
      </c>
      <c r="F147" s="3" t="s">
        <v>30</v>
      </c>
      <c r="G147" s="3" t="s">
        <v>33</v>
      </c>
      <c r="H147" s="3" t="s">
        <v>45</v>
      </c>
      <c r="I147" s="3">
        <v>998.97</v>
      </c>
      <c r="J147" s="3">
        <v>2</v>
      </c>
      <c r="K147" s="3">
        <v>-76.014200000000002</v>
      </c>
    </row>
    <row r="148" spans="1:11" ht="15.6" x14ac:dyDescent="0.3">
      <c r="A148" s="7">
        <v>41826</v>
      </c>
      <c r="B148" s="8">
        <f>YEAR(A148)</f>
        <v>2014</v>
      </c>
      <c r="C148" s="8">
        <f>MONTH(A148)</f>
        <v>7</v>
      </c>
      <c r="D148" s="3" t="s">
        <v>13</v>
      </c>
      <c r="E148" s="3" t="s">
        <v>19</v>
      </c>
      <c r="F148" s="3" t="s">
        <v>29</v>
      </c>
      <c r="G148" s="3" t="s">
        <v>40</v>
      </c>
      <c r="H148" s="3" t="s">
        <v>61</v>
      </c>
      <c r="I148" s="3">
        <v>951.18</v>
      </c>
      <c r="J148" s="3">
        <v>10</v>
      </c>
      <c r="K148" s="3">
        <v>74.338099999999997</v>
      </c>
    </row>
    <row r="149" spans="1:11" ht="15.6" x14ac:dyDescent="0.3">
      <c r="A149" s="7">
        <v>41828</v>
      </c>
      <c r="B149" s="8">
        <f>YEAR(A149)</f>
        <v>2014</v>
      </c>
      <c r="C149" s="8">
        <f>MONTH(A149)</f>
        <v>7</v>
      </c>
      <c r="D149" s="3" t="s">
        <v>16</v>
      </c>
      <c r="E149" s="3" t="s">
        <v>23</v>
      </c>
      <c r="F149" s="3" t="s">
        <v>30</v>
      </c>
      <c r="G149" s="3" t="s">
        <v>42</v>
      </c>
      <c r="H149" s="3" t="s">
        <v>69</v>
      </c>
      <c r="I149" s="3">
        <v>72.97</v>
      </c>
      <c r="J149" s="3">
        <v>10</v>
      </c>
      <c r="K149" s="3">
        <v>6.7464000000000004</v>
      </c>
    </row>
    <row r="150" spans="1:11" ht="15.6" x14ac:dyDescent="0.3">
      <c r="A150" s="7">
        <v>41830</v>
      </c>
      <c r="B150" s="8">
        <f>YEAR(A150)</f>
        <v>2014</v>
      </c>
      <c r="C150" s="8">
        <f>MONTH(A150)</f>
        <v>7</v>
      </c>
      <c r="D150" s="3" t="s">
        <v>15</v>
      </c>
      <c r="E150" s="3" t="s">
        <v>28</v>
      </c>
      <c r="F150" s="3" t="s">
        <v>31</v>
      </c>
      <c r="G150" s="3" t="s">
        <v>34</v>
      </c>
      <c r="H150" s="3" t="s">
        <v>46</v>
      </c>
      <c r="I150" s="3">
        <v>878.46</v>
      </c>
      <c r="J150" s="3">
        <v>8</v>
      </c>
      <c r="K150" s="3">
        <v>66.877499999999998</v>
      </c>
    </row>
    <row r="151" spans="1:11" ht="15.6" x14ac:dyDescent="0.3">
      <c r="A151" s="7">
        <v>41830</v>
      </c>
      <c r="B151" s="8">
        <f>YEAR(A151)</f>
        <v>2014</v>
      </c>
      <c r="C151" s="8">
        <f>MONTH(A151)</f>
        <v>7</v>
      </c>
      <c r="D151" s="3" t="s">
        <v>12</v>
      </c>
      <c r="E151" s="3" t="s">
        <v>27</v>
      </c>
      <c r="F151" s="3" t="s">
        <v>31</v>
      </c>
      <c r="G151" s="3" t="s">
        <v>36</v>
      </c>
      <c r="H151" s="3" t="s">
        <v>50</v>
      </c>
      <c r="I151" s="3">
        <v>450.28</v>
      </c>
      <c r="J151" s="3">
        <v>6</v>
      </c>
      <c r="K151" s="3">
        <v>-118.3552</v>
      </c>
    </row>
    <row r="152" spans="1:11" ht="15.6" x14ac:dyDescent="0.3">
      <c r="A152" s="7">
        <v>41838</v>
      </c>
      <c r="B152" s="8">
        <f>YEAR(A152)</f>
        <v>2014</v>
      </c>
      <c r="C152" s="8">
        <f>MONTH(A152)</f>
        <v>7</v>
      </c>
      <c r="D152" s="3" t="s">
        <v>14</v>
      </c>
      <c r="E152" s="3" t="s">
        <v>28</v>
      </c>
      <c r="F152" s="3" t="s">
        <v>31</v>
      </c>
      <c r="G152" s="3" t="s">
        <v>43</v>
      </c>
      <c r="H152" s="3" t="s">
        <v>62</v>
      </c>
      <c r="I152" s="3">
        <v>792.48</v>
      </c>
      <c r="J152" s="3">
        <v>6</v>
      </c>
      <c r="K152" s="3">
        <v>-65.233800000000002</v>
      </c>
    </row>
    <row r="153" spans="1:11" ht="15.6" x14ac:dyDescent="0.3">
      <c r="A153" s="7">
        <v>41840</v>
      </c>
      <c r="B153" s="8">
        <f>YEAR(A153)</f>
        <v>2014</v>
      </c>
      <c r="C153" s="8">
        <f>MONTH(A153)</f>
        <v>7</v>
      </c>
      <c r="D153" s="3" t="s">
        <v>9</v>
      </c>
      <c r="E153" s="3" t="s">
        <v>21</v>
      </c>
      <c r="F153" s="3" t="s">
        <v>29</v>
      </c>
      <c r="G153" s="3" t="s">
        <v>32</v>
      </c>
      <c r="H153" s="3" t="s">
        <v>44</v>
      </c>
      <c r="I153" s="3">
        <v>527.32000000000005</v>
      </c>
      <c r="J153" s="3">
        <v>2</v>
      </c>
      <c r="K153" s="3">
        <v>-76.227000000000004</v>
      </c>
    </row>
    <row r="154" spans="1:11" ht="15.6" x14ac:dyDescent="0.3">
      <c r="A154" s="7">
        <v>41840</v>
      </c>
      <c r="B154" s="8">
        <f>YEAR(A154)</f>
        <v>2014</v>
      </c>
      <c r="C154" s="8">
        <f>MONTH(A154)</f>
        <v>7</v>
      </c>
      <c r="D154" s="3" t="s">
        <v>11</v>
      </c>
      <c r="E154" s="3" t="s">
        <v>19</v>
      </c>
      <c r="F154" s="3" t="s">
        <v>30</v>
      </c>
      <c r="G154" s="3" t="s">
        <v>42</v>
      </c>
      <c r="H154" s="3" t="s">
        <v>67</v>
      </c>
      <c r="I154" s="3">
        <v>632.69000000000005</v>
      </c>
      <c r="J154" s="3">
        <v>8</v>
      </c>
      <c r="K154" s="3">
        <v>-86.275300000000001</v>
      </c>
    </row>
    <row r="155" spans="1:11" ht="15.6" x14ac:dyDescent="0.3">
      <c r="A155" s="7">
        <v>41840</v>
      </c>
      <c r="B155" s="8">
        <f>YEAR(A155)</f>
        <v>2014</v>
      </c>
      <c r="C155" s="8">
        <f>MONTH(A155)</f>
        <v>7</v>
      </c>
      <c r="D155" s="3" t="s">
        <v>10</v>
      </c>
      <c r="E155" s="3" t="s">
        <v>26</v>
      </c>
      <c r="F155" s="3" t="s">
        <v>30</v>
      </c>
      <c r="G155" s="3" t="s">
        <v>37</v>
      </c>
      <c r="H155" s="3" t="s">
        <v>51</v>
      </c>
      <c r="I155" s="3">
        <v>180.13</v>
      </c>
      <c r="J155" s="3">
        <v>7</v>
      </c>
      <c r="K155" s="3">
        <v>39.867899999999999</v>
      </c>
    </row>
    <row r="156" spans="1:11" ht="15.6" x14ac:dyDescent="0.3">
      <c r="A156" s="7">
        <v>41842</v>
      </c>
      <c r="B156" s="8">
        <f>YEAR(A156)</f>
        <v>2014</v>
      </c>
      <c r="C156" s="8">
        <f>MONTH(A156)</f>
        <v>7</v>
      </c>
      <c r="D156" s="3" t="s">
        <v>14</v>
      </c>
      <c r="E156" s="3" t="s">
        <v>23</v>
      </c>
      <c r="F156" s="3" t="s">
        <v>30</v>
      </c>
      <c r="G156" s="3" t="s">
        <v>42</v>
      </c>
      <c r="H156" s="3" t="s">
        <v>58</v>
      </c>
      <c r="I156" s="3">
        <v>1109.46</v>
      </c>
      <c r="J156" s="3">
        <v>9</v>
      </c>
      <c r="K156" s="3">
        <v>264.57580000000002</v>
      </c>
    </row>
    <row r="157" spans="1:11" ht="15.6" x14ac:dyDescent="0.3">
      <c r="A157" s="7">
        <v>41845</v>
      </c>
      <c r="B157" s="8">
        <f>YEAR(A157)</f>
        <v>2014</v>
      </c>
      <c r="C157" s="8">
        <f>MONTH(A157)</f>
        <v>7</v>
      </c>
      <c r="D157" s="3" t="s">
        <v>11</v>
      </c>
      <c r="E157" s="3" t="s">
        <v>25</v>
      </c>
      <c r="F157" s="3" t="s">
        <v>29</v>
      </c>
      <c r="G157" s="3" t="s">
        <v>40</v>
      </c>
      <c r="H157" s="3" t="s">
        <v>56</v>
      </c>
      <c r="I157" s="3">
        <v>1049.6600000000001</v>
      </c>
      <c r="J157" s="3">
        <v>8</v>
      </c>
      <c r="K157" s="3">
        <v>-341.36649999999997</v>
      </c>
    </row>
    <row r="158" spans="1:11" ht="15.6" x14ac:dyDescent="0.3">
      <c r="A158" s="7">
        <v>41848</v>
      </c>
      <c r="B158" s="8">
        <f>YEAR(A158)</f>
        <v>2014</v>
      </c>
      <c r="C158" s="8">
        <f>MONTH(A158)</f>
        <v>7</v>
      </c>
      <c r="D158" s="3" t="s">
        <v>10</v>
      </c>
      <c r="E158" s="3" t="s">
        <v>21</v>
      </c>
      <c r="F158" s="3" t="s">
        <v>30</v>
      </c>
      <c r="G158" s="3" t="s">
        <v>42</v>
      </c>
      <c r="H158" s="3" t="s">
        <v>67</v>
      </c>
      <c r="I158" s="3">
        <v>965.66</v>
      </c>
      <c r="J158" s="3">
        <v>3</v>
      </c>
      <c r="K158" s="3">
        <v>-298.3021</v>
      </c>
    </row>
    <row r="159" spans="1:11" ht="15.6" x14ac:dyDescent="0.3">
      <c r="A159" s="7">
        <v>41848</v>
      </c>
      <c r="B159" s="8">
        <f>YEAR(A159)</f>
        <v>2014</v>
      </c>
      <c r="C159" s="8">
        <f>MONTH(A159)</f>
        <v>7</v>
      </c>
      <c r="D159" s="3" t="s">
        <v>18</v>
      </c>
      <c r="E159" s="3" t="s">
        <v>28</v>
      </c>
      <c r="F159" s="3" t="s">
        <v>30</v>
      </c>
      <c r="G159" s="3" t="s">
        <v>42</v>
      </c>
      <c r="H159" s="3" t="s">
        <v>58</v>
      </c>
      <c r="I159" s="3">
        <v>989.21</v>
      </c>
      <c r="J159" s="3">
        <v>1</v>
      </c>
      <c r="K159" s="3">
        <v>-19.310099999999998</v>
      </c>
    </row>
    <row r="160" spans="1:11" ht="15.6" x14ac:dyDescent="0.3">
      <c r="A160" s="7">
        <v>41850</v>
      </c>
      <c r="B160" s="8">
        <f>YEAR(A160)</f>
        <v>2014</v>
      </c>
      <c r="C160" s="8">
        <f>MONTH(A160)</f>
        <v>7</v>
      </c>
      <c r="D160" s="3" t="s">
        <v>11</v>
      </c>
      <c r="E160" s="3" t="s">
        <v>27</v>
      </c>
      <c r="F160" s="3" t="s">
        <v>30</v>
      </c>
      <c r="G160" s="3" t="s">
        <v>35</v>
      </c>
      <c r="H160" s="3" t="s">
        <v>59</v>
      </c>
      <c r="I160" s="3">
        <v>427.65</v>
      </c>
      <c r="J160" s="3">
        <v>9</v>
      </c>
      <c r="K160" s="3">
        <v>112.51519999999999</v>
      </c>
    </row>
    <row r="161" spans="1:11" ht="15.6" x14ac:dyDescent="0.3">
      <c r="A161" s="7">
        <v>41850</v>
      </c>
      <c r="B161" s="8">
        <f>YEAR(A161)</f>
        <v>2014</v>
      </c>
      <c r="C161" s="8">
        <f>MONTH(A161)</f>
        <v>7</v>
      </c>
      <c r="D161" s="3" t="s">
        <v>17</v>
      </c>
      <c r="E161" s="3" t="s">
        <v>25</v>
      </c>
      <c r="F161" s="3" t="s">
        <v>31</v>
      </c>
      <c r="G161" s="3" t="s">
        <v>43</v>
      </c>
      <c r="H161" s="3" t="s">
        <v>68</v>
      </c>
      <c r="I161" s="3">
        <v>1073.6500000000001</v>
      </c>
      <c r="J161" s="3">
        <v>2</v>
      </c>
      <c r="K161" s="3">
        <v>-245.5402</v>
      </c>
    </row>
    <row r="162" spans="1:11" ht="15.6" x14ac:dyDescent="0.3">
      <c r="A162" s="7">
        <v>41851</v>
      </c>
      <c r="B162" s="8">
        <f>YEAR(A162)</f>
        <v>2014</v>
      </c>
      <c r="C162" s="8">
        <f>MONTH(A162)</f>
        <v>7</v>
      </c>
      <c r="D162" s="3" t="s">
        <v>9</v>
      </c>
      <c r="E162" s="3" t="s">
        <v>25</v>
      </c>
      <c r="F162" s="3" t="s">
        <v>31</v>
      </c>
      <c r="G162" s="3" t="s">
        <v>36</v>
      </c>
      <c r="H162" s="3" t="s">
        <v>50</v>
      </c>
      <c r="I162" s="3">
        <v>36.380000000000003</v>
      </c>
      <c r="J162" s="3">
        <v>6</v>
      </c>
      <c r="K162" s="3">
        <v>0.56989999999999996</v>
      </c>
    </row>
    <row r="163" spans="1:11" ht="15.6" x14ac:dyDescent="0.3">
      <c r="A163" s="7">
        <v>41851</v>
      </c>
      <c r="B163" s="8">
        <f>YEAR(A163)</f>
        <v>2014</v>
      </c>
      <c r="C163" s="8">
        <f>MONTH(A163)</f>
        <v>7</v>
      </c>
      <c r="D163" s="3" t="s">
        <v>17</v>
      </c>
      <c r="E163" s="3" t="s">
        <v>20</v>
      </c>
      <c r="F163" s="3" t="s">
        <v>31</v>
      </c>
      <c r="G163" s="3" t="s">
        <v>36</v>
      </c>
      <c r="H163" s="3" t="s">
        <v>70</v>
      </c>
      <c r="I163" s="3">
        <v>627.09</v>
      </c>
      <c r="J163" s="3">
        <v>5</v>
      </c>
      <c r="K163" s="3">
        <v>-240.26310000000001</v>
      </c>
    </row>
    <row r="164" spans="1:11" ht="15.6" x14ac:dyDescent="0.3">
      <c r="A164" s="7">
        <v>41852</v>
      </c>
      <c r="B164" s="8">
        <f>YEAR(A164)</f>
        <v>2014</v>
      </c>
      <c r="C164" s="8">
        <f>MONTH(A164)</f>
        <v>8</v>
      </c>
      <c r="D164" s="3" t="s">
        <v>11</v>
      </c>
      <c r="E164" s="3" t="s">
        <v>23</v>
      </c>
      <c r="F164" s="3" t="s">
        <v>29</v>
      </c>
      <c r="G164" s="3" t="s">
        <v>32</v>
      </c>
      <c r="H164" s="3" t="s">
        <v>52</v>
      </c>
      <c r="I164" s="3">
        <v>695.61</v>
      </c>
      <c r="J164" s="3">
        <v>4</v>
      </c>
      <c r="K164" s="3">
        <v>-197.52010000000001</v>
      </c>
    </row>
    <row r="165" spans="1:11" ht="15.6" x14ac:dyDescent="0.3">
      <c r="A165" s="7">
        <v>41852</v>
      </c>
      <c r="B165" s="8">
        <f>YEAR(A165)</f>
        <v>2014</v>
      </c>
      <c r="C165" s="8">
        <f>MONTH(A165)</f>
        <v>8</v>
      </c>
      <c r="D165" s="3" t="s">
        <v>11</v>
      </c>
      <c r="E165" s="3" t="s">
        <v>22</v>
      </c>
      <c r="F165" s="3" t="s">
        <v>29</v>
      </c>
      <c r="G165" s="3" t="s">
        <v>40</v>
      </c>
      <c r="H165" s="3" t="s">
        <v>56</v>
      </c>
      <c r="I165" s="3">
        <v>250.21</v>
      </c>
      <c r="J165" s="3">
        <v>4</v>
      </c>
      <c r="K165" s="3">
        <v>-21.302399999999999</v>
      </c>
    </row>
    <row r="166" spans="1:11" ht="15.6" x14ac:dyDescent="0.3">
      <c r="A166" s="7">
        <v>41856</v>
      </c>
      <c r="B166" s="8">
        <f>YEAR(A166)</f>
        <v>2014</v>
      </c>
      <c r="C166" s="8">
        <f>MONTH(A166)</f>
        <v>8</v>
      </c>
      <c r="D166" s="3" t="s">
        <v>17</v>
      </c>
      <c r="E166" s="3" t="s">
        <v>25</v>
      </c>
      <c r="F166" s="3" t="s">
        <v>29</v>
      </c>
      <c r="G166" s="3" t="s">
        <v>40</v>
      </c>
      <c r="H166" s="3" t="s">
        <v>56</v>
      </c>
      <c r="I166" s="3">
        <v>920.71</v>
      </c>
      <c r="J166" s="3">
        <v>10</v>
      </c>
      <c r="K166" s="3">
        <v>-121.09869999999999</v>
      </c>
    </row>
    <row r="167" spans="1:11" ht="15.6" x14ac:dyDescent="0.3">
      <c r="A167" s="7">
        <v>41857</v>
      </c>
      <c r="B167" s="8">
        <f>YEAR(A167)</f>
        <v>2014</v>
      </c>
      <c r="C167" s="8">
        <f>MONTH(A167)</f>
        <v>8</v>
      </c>
      <c r="D167" s="3" t="s">
        <v>9</v>
      </c>
      <c r="E167" s="3" t="s">
        <v>28</v>
      </c>
      <c r="F167" s="3" t="s">
        <v>29</v>
      </c>
      <c r="G167" s="3" t="s">
        <v>41</v>
      </c>
      <c r="H167" s="3" t="s">
        <v>57</v>
      </c>
      <c r="I167" s="3">
        <v>141.44</v>
      </c>
      <c r="J167" s="3">
        <v>10</v>
      </c>
      <c r="K167" s="3">
        <v>28.200500000000002</v>
      </c>
    </row>
    <row r="168" spans="1:11" ht="15.6" x14ac:dyDescent="0.3">
      <c r="A168" s="7">
        <v>41860</v>
      </c>
      <c r="B168" s="8">
        <f>YEAR(A168)</f>
        <v>2014</v>
      </c>
      <c r="C168" s="8">
        <f>MONTH(A168)</f>
        <v>8</v>
      </c>
      <c r="D168" s="3" t="s">
        <v>13</v>
      </c>
      <c r="E168" s="3" t="s">
        <v>24</v>
      </c>
      <c r="F168" s="3" t="s">
        <v>31</v>
      </c>
      <c r="G168" s="3" t="s">
        <v>43</v>
      </c>
      <c r="H168" s="3" t="s">
        <v>68</v>
      </c>
      <c r="I168" s="3">
        <v>909.79</v>
      </c>
      <c r="J168" s="3">
        <v>1</v>
      </c>
      <c r="K168" s="3">
        <v>268.36070000000001</v>
      </c>
    </row>
    <row r="169" spans="1:11" ht="15.6" x14ac:dyDescent="0.3">
      <c r="A169" s="7">
        <v>41861</v>
      </c>
      <c r="B169" s="8">
        <f>YEAR(A169)</f>
        <v>2014</v>
      </c>
      <c r="C169" s="8">
        <f>MONTH(A169)</f>
        <v>8</v>
      </c>
      <c r="D169" s="3" t="s">
        <v>18</v>
      </c>
      <c r="E169" s="3" t="s">
        <v>21</v>
      </c>
      <c r="F169" s="3" t="s">
        <v>31</v>
      </c>
      <c r="G169" s="3" t="s">
        <v>43</v>
      </c>
      <c r="H169" s="3" t="s">
        <v>68</v>
      </c>
      <c r="I169" s="3">
        <v>151.02000000000001</v>
      </c>
      <c r="J169" s="3">
        <v>8</v>
      </c>
      <c r="K169" s="3">
        <v>-4.0842999999999998</v>
      </c>
    </row>
    <row r="170" spans="1:11" ht="15.6" x14ac:dyDescent="0.3">
      <c r="A170" s="7">
        <v>41863</v>
      </c>
      <c r="B170" s="8">
        <f>YEAR(A170)</f>
        <v>2014</v>
      </c>
      <c r="C170" s="8">
        <f>MONTH(A170)</f>
        <v>8</v>
      </c>
      <c r="D170" s="3" t="s">
        <v>13</v>
      </c>
      <c r="E170" s="3" t="s">
        <v>21</v>
      </c>
      <c r="F170" s="3" t="s">
        <v>30</v>
      </c>
      <c r="G170" s="3" t="s">
        <v>37</v>
      </c>
      <c r="H170" s="3" t="s">
        <v>64</v>
      </c>
      <c r="I170" s="3">
        <v>923.9</v>
      </c>
      <c r="J170" s="3">
        <v>6</v>
      </c>
      <c r="K170" s="3">
        <v>-254.29990000000001</v>
      </c>
    </row>
    <row r="171" spans="1:11" ht="15.6" x14ac:dyDescent="0.3">
      <c r="A171" s="7">
        <v>41864</v>
      </c>
      <c r="B171" s="8">
        <f>YEAR(A171)</f>
        <v>2014</v>
      </c>
      <c r="C171" s="8">
        <f>MONTH(A171)</f>
        <v>8</v>
      </c>
      <c r="D171" s="3" t="s">
        <v>12</v>
      </c>
      <c r="E171" s="3" t="s">
        <v>21</v>
      </c>
      <c r="F171" s="3" t="s">
        <v>31</v>
      </c>
      <c r="G171" s="3" t="s">
        <v>39</v>
      </c>
      <c r="H171" s="3" t="s">
        <v>54</v>
      </c>
      <c r="I171" s="3">
        <v>187.65</v>
      </c>
      <c r="J171" s="3">
        <v>3</v>
      </c>
      <c r="K171" s="3">
        <v>36.415300000000002</v>
      </c>
    </row>
    <row r="172" spans="1:11" ht="15.6" x14ac:dyDescent="0.3">
      <c r="A172" s="7">
        <v>41865</v>
      </c>
      <c r="B172" s="8">
        <f>YEAR(A172)</f>
        <v>2014</v>
      </c>
      <c r="C172" s="8">
        <f>MONTH(A172)</f>
        <v>8</v>
      </c>
      <c r="D172" s="3" t="s">
        <v>12</v>
      </c>
      <c r="E172" s="3" t="s">
        <v>25</v>
      </c>
      <c r="F172" s="3" t="s">
        <v>29</v>
      </c>
      <c r="G172" s="3" t="s">
        <v>32</v>
      </c>
      <c r="H172" s="3" t="s">
        <v>44</v>
      </c>
      <c r="I172" s="3">
        <v>794.96</v>
      </c>
      <c r="J172" s="3">
        <v>1</v>
      </c>
      <c r="K172" s="3">
        <v>-239.40029999999999</v>
      </c>
    </row>
    <row r="173" spans="1:11" ht="15.6" x14ac:dyDescent="0.3">
      <c r="A173" s="7">
        <v>41866</v>
      </c>
      <c r="B173" s="8">
        <f>YEAR(A173)</f>
        <v>2014</v>
      </c>
      <c r="C173" s="8">
        <f>MONTH(A173)</f>
        <v>8</v>
      </c>
      <c r="D173" s="3" t="s">
        <v>14</v>
      </c>
      <c r="E173" s="3" t="s">
        <v>23</v>
      </c>
      <c r="F173" s="3" t="s">
        <v>31</v>
      </c>
      <c r="G173" s="3" t="s">
        <v>38</v>
      </c>
      <c r="H173" s="3" t="s">
        <v>63</v>
      </c>
      <c r="I173" s="3">
        <v>193.6</v>
      </c>
      <c r="J173" s="3">
        <v>9</v>
      </c>
      <c r="K173" s="3">
        <v>26.169499999999999</v>
      </c>
    </row>
    <row r="174" spans="1:11" ht="15.6" x14ac:dyDescent="0.3">
      <c r="A174" s="7">
        <v>41867</v>
      </c>
      <c r="B174" s="8">
        <f>YEAR(A174)</f>
        <v>2014</v>
      </c>
      <c r="C174" s="8">
        <f>MONTH(A174)</f>
        <v>8</v>
      </c>
      <c r="D174" s="3" t="s">
        <v>9</v>
      </c>
      <c r="E174" s="3" t="s">
        <v>19</v>
      </c>
      <c r="F174" s="3" t="s">
        <v>29</v>
      </c>
      <c r="G174" s="3" t="s">
        <v>41</v>
      </c>
      <c r="H174" s="3" t="s">
        <v>65</v>
      </c>
      <c r="I174" s="3">
        <v>409.37</v>
      </c>
      <c r="J174" s="3">
        <v>4</v>
      </c>
      <c r="K174" s="3">
        <v>-70.082400000000007</v>
      </c>
    </row>
    <row r="175" spans="1:11" ht="15.6" x14ac:dyDescent="0.3">
      <c r="A175" s="7">
        <v>41869</v>
      </c>
      <c r="B175" s="8">
        <f>YEAR(A175)</f>
        <v>2014</v>
      </c>
      <c r="C175" s="8">
        <f>MONTH(A175)</f>
        <v>8</v>
      </c>
      <c r="D175" s="3" t="s">
        <v>16</v>
      </c>
      <c r="E175" s="3" t="s">
        <v>24</v>
      </c>
      <c r="F175" s="3" t="s">
        <v>29</v>
      </c>
      <c r="G175" s="3" t="s">
        <v>32</v>
      </c>
      <c r="H175" s="3" t="s">
        <v>44</v>
      </c>
      <c r="I175" s="3">
        <v>452.19</v>
      </c>
      <c r="J175" s="3">
        <v>1</v>
      </c>
      <c r="K175" s="3">
        <v>82.905799999999999</v>
      </c>
    </row>
    <row r="176" spans="1:11" ht="15.6" x14ac:dyDescent="0.3">
      <c r="A176" s="7">
        <v>41869</v>
      </c>
      <c r="B176" s="8">
        <f>YEAR(A176)</f>
        <v>2014</v>
      </c>
      <c r="C176" s="8">
        <f>MONTH(A176)</f>
        <v>8</v>
      </c>
      <c r="D176" s="3" t="s">
        <v>9</v>
      </c>
      <c r="E176" s="3" t="s">
        <v>22</v>
      </c>
      <c r="F176" s="3" t="s">
        <v>29</v>
      </c>
      <c r="G176" s="3" t="s">
        <v>41</v>
      </c>
      <c r="H176" s="3" t="s">
        <v>57</v>
      </c>
      <c r="I176" s="3">
        <v>687.31</v>
      </c>
      <c r="J176" s="3">
        <v>9</v>
      </c>
      <c r="K176" s="3">
        <v>205.9879</v>
      </c>
    </row>
    <row r="177" spans="1:11" ht="15.6" x14ac:dyDescent="0.3">
      <c r="A177" s="7">
        <v>41870</v>
      </c>
      <c r="B177" s="8">
        <f>YEAR(A177)</f>
        <v>2014</v>
      </c>
      <c r="C177" s="8">
        <f>MONTH(A177)</f>
        <v>8</v>
      </c>
      <c r="D177" s="3" t="s">
        <v>12</v>
      </c>
      <c r="E177" s="3" t="s">
        <v>21</v>
      </c>
      <c r="F177" s="3" t="s">
        <v>31</v>
      </c>
      <c r="G177" s="3" t="s">
        <v>34</v>
      </c>
      <c r="H177" s="3" t="s">
        <v>46</v>
      </c>
      <c r="I177" s="3">
        <v>400.17</v>
      </c>
      <c r="J177" s="3">
        <v>8</v>
      </c>
      <c r="K177" s="3">
        <v>34.500300000000003</v>
      </c>
    </row>
    <row r="178" spans="1:11" ht="15.6" x14ac:dyDescent="0.3">
      <c r="A178" s="7">
        <v>41870</v>
      </c>
      <c r="B178" s="8">
        <f>YEAR(A178)</f>
        <v>2014</v>
      </c>
      <c r="C178" s="8">
        <f>MONTH(A178)</f>
        <v>8</v>
      </c>
      <c r="D178" s="3" t="s">
        <v>16</v>
      </c>
      <c r="E178" s="3" t="s">
        <v>21</v>
      </c>
      <c r="F178" s="3" t="s">
        <v>31</v>
      </c>
      <c r="G178" s="3" t="s">
        <v>39</v>
      </c>
      <c r="H178" s="3" t="s">
        <v>71</v>
      </c>
      <c r="I178" s="3">
        <v>500.26</v>
      </c>
      <c r="J178" s="3">
        <v>3</v>
      </c>
      <c r="K178" s="3">
        <v>12.479200000000001</v>
      </c>
    </row>
    <row r="179" spans="1:11" ht="15.6" x14ac:dyDescent="0.3">
      <c r="A179" s="7">
        <v>41870</v>
      </c>
      <c r="B179" s="8">
        <f>YEAR(A179)</f>
        <v>2014</v>
      </c>
      <c r="C179" s="8">
        <f>MONTH(A179)</f>
        <v>8</v>
      </c>
      <c r="D179" s="3" t="s">
        <v>15</v>
      </c>
      <c r="E179" s="3" t="s">
        <v>21</v>
      </c>
      <c r="F179" s="3" t="s">
        <v>31</v>
      </c>
      <c r="G179" s="3" t="s">
        <v>36</v>
      </c>
      <c r="H179" s="3" t="s">
        <v>50</v>
      </c>
      <c r="I179" s="3">
        <v>1015.78</v>
      </c>
      <c r="J179" s="3">
        <v>3</v>
      </c>
      <c r="K179" s="3">
        <v>-312.10789999999997</v>
      </c>
    </row>
    <row r="180" spans="1:11" ht="15.6" x14ac:dyDescent="0.3">
      <c r="A180" s="7">
        <v>41872</v>
      </c>
      <c r="B180" s="8">
        <f>YEAR(A180)</f>
        <v>2014</v>
      </c>
      <c r="C180" s="8">
        <f>MONTH(A180)</f>
        <v>8</v>
      </c>
      <c r="D180" s="3" t="s">
        <v>14</v>
      </c>
      <c r="E180" s="3" t="s">
        <v>19</v>
      </c>
      <c r="F180" s="3" t="s">
        <v>29</v>
      </c>
      <c r="G180" s="3" t="s">
        <v>32</v>
      </c>
      <c r="H180" s="3" t="s">
        <v>52</v>
      </c>
      <c r="I180" s="3">
        <v>466.12</v>
      </c>
      <c r="J180" s="3">
        <v>9</v>
      </c>
      <c r="K180" s="3">
        <v>66.646600000000007</v>
      </c>
    </row>
    <row r="181" spans="1:11" ht="15.6" x14ac:dyDescent="0.3">
      <c r="A181" s="7">
        <v>41874</v>
      </c>
      <c r="B181" s="8">
        <f>YEAR(A181)</f>
        <v>2014</v>
      </c>
      <c r="C181" s="8">
        <f>MONTH(A181)</f>
        <v>8</v>
      </c>
      <c r="D181" s="3" t="s">
        <v>17</v>
      </c>
      <c r="E181" s="3" t="s">
        <v>25</v>
      </c>
      <c r="F181" s="3" t="s">
        <v>30</v>
      </c>
      <c r="G181" s="3" t="s">
        <v>35</v>
      </c>
      <c r="H181" s="3" t="s">
        <v>66</v>
      </c>
      <c r="I181" s="3">
        <v>678.94</v>
      </c>
      <c r="J181" s="3">
        <v>4</v>
      </c>
      <c r="K181" s="3">
        <v>-34.778399999999998</v>
      </c>
    </row>
    <row r="182" spans="1:11" ht="15.6" x14ac:dyDescent="0.3">
      <c r="A182" s="7">
        <v>41874</v>
      </c>
      <c r="B182" s="8">
        <f>YEAR(A182)</f>
        <v>2014</v>
      </c>
      <c r="C182" s="8">
        <f>MONTH(A182)</f>
        <v>8</v>
      </c>
      <c r="D182" s="3" t="s">
        <v>9</v>
      </c>
      <c r="E182" s="3" t="s">
        <v>23</v>
      </c>
      <c r="F182" s="3" t="s">
        <v>30</v>
      </c>
      <c r="G182" s="3" t="s">
        <v>35</v>
      </c>
      <c r="H182" s="3" t="s">
        <v>66</v>
      </c>
      <c r="I182" s="3">
        <v>23.23</v>
      </c>
      <c r="J182" s="3">
        <v>10</v>
      </c>
      <c r="K182" s="3">
        <v>0.45810000000000001</v>
      </c>
    </row>
    <row r="183" spans="1:11" ht="15.6" x14ac:dyDescent="0.3">
      <c r="A183" s="7">
        <v>41875</v>
      </c>
      <c r="B183" s="8">
        <f>YEAR(A183)</f>
        <v>2014</v>
      </c>
      <c r="C183" s="8">
        <f>MONTH(A183)</f>
        <v>8</v>
      </c>
      <c r="D183" s="3" t="s">
        <v>18</v>
      </c>
      <c r="E183" s="3" t="s">
        <v>24</v>
      </c>
      <c r="F183" s="3" t="s">
        <v>30</v>
      </c>
      <c r="G183" s="3" t="s">
        <v>37</v>
      </c>
      <c r="H183" s="3" t="s">
        <v>51</v>
      </c>
      <c r="I183" s="3">
        <v>916.31</v>
      </c>
      <c r="J183" s="3">
        <v>10</v>
      </c>
      <c r="K183" s="3">
        <v>-211.1001</v>
      </c>
    </row>
    <row r="184" spans="1:11" ht="15.6" x14ac:dyDescent="0.3">
      <c r="A184" s="7">
        <v>41876</v>
      </c>
      <c r="B184" s="8">
        <f>YEAR(A184)</f>
        <v>2014</v>
      </c>
      <c r="C184" s="8">
        <f>MONTH(A184)</f>
        <v>8</v>
      </c>
      <c r="D184" s="3" t="s">
        <v>12</v>
      </c>
      <c r="E184" s="3" t="s">
        <v>25</v>
      </c>
      <c r="F184" s="3" t="s">
        <v>29</v>
      </c>
      <c r="G184" s="3" t="s">
        <v>40</v>
      </c>
      <c r="H184" s="3" t="s">
        <v>56</v>
      </c>
      <c r="I184" s="3">
        <v>914.13</v>
      </c>
      <c r="J184" s="3">
        <v>9</v>
      </c>
      <c r="K184" s="3">
        <v>-36.311599999999999</v>
      </c>
    </row>
    <row r="185" spans="1:11" ht="15.6" x14ac:dyDescent="0.3">
      <c r="A185" s="7">
        <v>41878</v>
      </c>
      <c r="B185" s="8">
        <f>YEAR(A185)</f>
        <v>2014</v>
      </c>
      <c r="C185" s="8">
        <f>MONTH(A185)</f>
        <v>8</v>
      </c>
      <c r="D185" s="3" t="s">
        <v>18</v>
      </c>
      <c r="E185" s="3" t="s">
        <v>28</v>
      </c>
      <c r="F185" s="3" t="s">
        <v>29</v>
      </c>
      <c r="G185" s="3" t="s">
        <v>41</v>
      </c>
      <c r="H185" s="3" t="s">
        <v>65</v>
      </c>
      <c r="I185" s="3">
        <v>313.08999999999997</v>
      </c>
      <c r="J185" s="3">
        <v>7</v>
      </c>
      <c r="K185" s="3">
        <v>23.558900000000001</v>
      </c>
    </row>
    <row r="186" spans="1:11" ht="15.6" x14ac:dyDescent="0.3">
      <c r="A186" s="7">
        <v>41879</v>
      </c>
      <c r="B186" s="8">
        <f>YEAR(A186)</f>
        <v>2014</v>
      </c>
      <c r="C186" s="8">
        <f>MONTH(A186)</f>
        <v>8</v>
      </c>
      <c r="D186" s="3" t="s">
        <v>12</v>
      </c>
      <c r="E186" s="3" t="s">
        <v>26</v>
      </c>
      <c r="F186" s="3" t="s">
        <v>29</v>
      </c>
      <c r="G186" s="3" t="s">
        <v>32</v>
      </c>
      <c r="H186" s="3" t="s">
        <v>44</v>
      </c>
      <c r="I186" s="3">
        <v>1038.19</v>
      </c>
      <c r="J186" s="3">
        <v>5</v>
      </c>
      <c r="K186" s="3">
        <v>133.8742</v>
      </c>
    </row>
    <row r="187" spans="1:11" ht="15.6" x14ac:dyDescent="0.3">
      <c r="A187" s="7">
        <v>41883</v>
      </c>
      <c r="B187" s="8">
        <f>YEAR(A187)</f>
        <v>2014</v>
      </c>
      <c r="C187" s="8">
        <f>MONTH(A187)</f>
        <v>9</v>
      </c>
      <c r="D187" s="3" t="s">
        <v>18</v>
      </c>
      <c r="E187" s="3" t="s">
        <v>20</v>
      </c>
      <c r="F187" s="3" t="s">
        <v>31</v>
      </c>
      <c r="G187" s="3" t="s">
        <v>36</v>
      </c>
      <c r="H187" s="3" t="s">
        <v>50</v>
      </c>
      <c r="I187" s="3">
        <v>1176.9000000000001</v>
      </c>
      <c r="J187" s="3">
        <v>1</v>
      </c>
      <c r="K187" s="3">
        <v>-380.15929999999997</v>
      </c>
    </row>
    <row r="188" spans="1:11" ht="15.6" x14ac:dyDescent="0.3">
      <c r="A188" s="7">
        <v>41883</v>
      </c>
      <c r="B188" s="8">
        <f>YEAR(A188)</f>
        <v>2014</v>
      </c>
      <c r="C188" s="8">
        <f>MONTH(A188)</f>
        <v>9</v>
      </c>
      <c r="D188" s="3" t="s">
        <v>10</v>
      </c>
      <c r="E188" s="3" t="s">
        <v>21</v>
      </c>
      <c r="F188" s="3" t="s">
        <v>30</v>
      </c>
      <c r="G188" s="3" t="s">
        <v>42</v>
      </c>
      <c r="H188" s="3" t="s">
        <v>67</v>
      </c>
      <c r="I188" s="3">
        <v>463.44</v>
      </c>
      <c r="J188" s="3">
        <v>6</v>
      </c>
      <c r="K188" s="3">
        <v>111.066</v>
      </c>
    </row>
    <row r="189" spans="1:11" ht="15.6" x14ac:dyDescent="0.3">
      <c r="A189" s="7">
        <v>41884</v>
      </c>
      <c r="B189" s="8">
        <f>YEAR(A189)</f>
        <v>2014</v>
      </c>
      <c r="C189" s="8">
        <f>MONTH(A189)</f>
        <v>9</v>
      </c>
      <c r="D189" s="3" t="s">
        <v>18</v>
      </c>
      <c r="E189" s="3" t="s">
        <v>20</v>
      </c>
      <c r="F189" s="3" t="s">
        <v>31</v>
      </c>
      <c r="G189" s="3" t="s">
        <v>36</v>
      </c>
      <c r="H189" s="3" t="s">
        <v>70</v>
      </c>
      <c r="I189" s="3">
        <v>176.32</v>
      </c>
      <c r="J189" s="3">
        <v>7</v>
      </c>
      <c r="K189" s="3">
        <v>21.383700000000001</v>
      </c>
    </row>
    <row r="190" spans="1:11" ht="15.6" x14ac:dyDescent="0.3">
      <c r="A190" s="7">
        <v>41886</v>
      </c>
      <c r="B190" s="8">
        <f>YEAR(A190)</f>
        <v>2014</v>
      </c>
      <c r="C190" s="8">
        <f>MONTH(A190)</f>
        <v>9</v>
      </c>
      <c r="D190" s="3" t="s">
        <v>11</v>
      </c>
      <c r="E190" s="3" t="s">
        <v>21</v>
      </c>
      <c r="F190" s="3" t="s">
        <v>29</v>
      </c>
      <c r="G190" s="3" t="s">
        <v>40</v>
      </c>
      <c r="H190" s="3" t="s">
        <v>61</v>
      </c>
      <c r="I190" s="3">
        <v>1139.3599999999999</v>
      </c>
      <c r="J190" s="3">
        <v>8</v>
      </c>
      <c r="K190" s="3">
        <v>-308.01549999999997</v>
      </c>
    </row>
    <row r="191" spans="1:11" ht="15.6" x14ac:dyDescent="0.3">
      <c r="A191" s="7">
        <v>41886</v>
      </c>
      <c r="B191" s="8">
        <f>YEAR(A191)</f>
        <v>2014</v>
      </c>
      <c r="C191" s="8">
        <f>MONTH(A191)</f>
        <v>9</v>
      </c>
      <c r="D191" s="3" t="s">
        <v>11</v>
      </c>
      <c r="E191" s="3" t="s">
        <v>27</v>
      </c>
      <c r="F191" s="3" t="s">
        <v>31</v>
      </c>
      <c r="G191" s="3" t="s">
        <v>36</v>
      </c>
      <c r="H191" s="3" t="s">
        <v>50</v>
      </c>
      <c r="I191" s="3">
        <v>1044.3900000000001</v>
      </c>
      <c r="J191" s="3">
        <v>4</v>
      </c>
      <c r="K191" s="3">
        <v>167.89510000000001</v>
      </c>
    </row>
    <row r="192" spans="1:11" ht="15.6" x14ac:dyDescent="0.3">
      <c r="A192" s="7">
        <v>41887</v>
      </c>
      <c r="B192" s="8">
        <f>YEAR(A192)</f>
        <v>2014</v>
      </c>
      <c r="C192" s="8">
        <f>MONTH(A192)</f>
        <v>9</v>
      </c>
      <c r="D192" s="3" t="s">
        <v>18</v>
      </c>
      <c r="E192" s="3" t="s">
        <v>23</v>
      </c>
      <c r="F192" s="3" t="s">
        <v>31</v>
      </c>
      <c r="G192" s="3" t="s">
        <v>34</v>
      </c>
      <c r="H192" s="3" t="s">
        <v>46</v>
      </c>
      <c r="I192" s="3">
        <v>866.93</v>
      </c>
      <c r="J192" s="3">
        <v>6</v>
      </c>
      <c r="K192" s="3">
        <v>-269.0378</v>
      </c>
    </row>
    <row r="193" spans="1:11" ht="15.6" x14ac:dyDescent="0.3">
      <c r="A193" s="7">
        <v>41887</v>
      </c>
      <c r="B193" s="8">
        <f>YEAR(A193)</f>
        <v>2014</v>
      </c>
      <c r="C193" s="8">
        <f>MONTH(A193)</f>
        <v>9</v>
      </c>
      <c r="D193" s="3" t="s">
        <v>9</v>
      </c>
      <c r="E193" s="3" t="s">
        <v>27</v>
      </c>
      <c r="F193" s="3" t="s">
        <v>31</v>
      </c>
      <c r="G193" s="3" t="s">
        <v>39</v>
      </c>
      <c r="H193" s="3" t="s">
        <v>54</v>
      </c>
      <c r="I193" s="3">
        <v>676.57</v>
      </c>
      <c r="J193" s="3">
        <v>8</v>
      </c>
      <c r="K193" s="3">
        <v>-139.80199999999999</v>
      </c>
    </row>
    <row r="194" spans="1:11" ht="15.6" x14ac:dyDescent="0.3">
      <c r="A194" s="7">
        <v>41887</v>
      </c>
      <c r="B194" s="8">
        <f>YEAR(A194)</f>
        <v>2014</v>
      </c>
      <c r="C194" s="8">
        <f>MONTH(A194)</f>
        <v>9</v>
      </c>
      <c r="D194" s="3" t="s">
        <v>15</v>
      </c>
      <c r="E194" s="3" t="s">
        <v>20</v>
      </c>
      <c r="F194" s="3" t="s">
        <v>29</v>
      </c>
      <c r="G194" s="3" t="s">
        <v>32</v>
      </c>
      <c r="H194" s="3" t="s">
        <v>44</v>
      </c>
      <c r="I194" s="3">
        <v>446.66</v>
      </c>
      <c r="J194" s="3">
        <v>5</v>
      </c>
      <c r="K194" s="3">
        <v>-165.16970000000001</v>
      </c>
    </row>
    <row r="195" spans="1:11" ht="15.6" x14ac:dyDescent="0.3">
      <c r="A195" s="7">
        <v>41889</v>
      </c>
      <c r="B195" s="8">
        <f>YEAR(A195)</f>
        <v>2014</v>
      </c>
      <c r="C195" s="8">
        <f>MONTH(A195)</f>
        <v>9</v>
      </c>
      <c r="D195" s="3" t="s">
        <v>15</v>
      </c>
      <c r="E195" s="3" t="s">
        <v>21</v>
      </c>
      <c r="F195" s="3" t="s">
        <v>29</v>
      </c>
      <c r="G195" s="3" t="s">
        <v>32</v>
      </c>
      <c r="H195" s="3" t="s">
        <v>52</v>
      </c>
      <c r="I195" s="3">
        <v>690.3</v>
      </c>
      <c r="J195" s="3">
        <v>9</v>
      </c>
      <c r="K195" s="3">
        <v>-79.5428</v>
      </c>
    </row>
    <row r="196" spans="1:11" ht="15.6" x14ac:dyDescent="0.3">
      <c r="A196" s="7">
        <v>41890</v>
      </c>
      <c r="B196" s="8">
        <f>YEAR(A196)</f>
        <v>2014</v>
      </c>
      <c r="C196" s="8">
        <f>MONTH(A196)</f>
        <v>9</v>
      </c>
      <c r="D196" s="3" t="s">
        <v>15</v>
      </c>
      <c r="E196" s="3" t="s">
        <v>19</v>
      </c>
      <c r="F196" s="3" t="s">
        <v>31</v>
      </c>
      <c r="G196" s="3" t="s">
        <v>34</v>
      </c>
      <c r="H196" s="3" t="s">
        <v>46</v>
      </c>
      <c r="I196" s="3">
        <v>1139.07</v>
      </c>
      <c r="J196" s="3">
        <v>8</v>
      </c>
      <c r="K196" s="3">
        <v>-377.31119999999999</v>
      </c>
    </row>
    <row r="197" spans="1:11" ht="15.6" x14ac:dyDescent="0.3">
      <c r="A197" s="7">
        <v>41890</v>
      </c>
      <c r="B197" s="8">
        <f>YEAR(A197)</f>
        <v>2014</v>
      </c>
      <c r="C197" s="8">
        <f>MONTH(A197)</f>
        <v>9</v>
      </c>
      <c r="D197" s="3" t="s">
        <v>15</v>
      </c>
      <c r="E197" s="3" t="s">
        <v>25</v>
      </c>
      <c r="F197" s="3" t="s">
        <v>29</v>
      </c>
      <c r="G197" s="3" t="s">
        <v>41</v>
      </c>
      <c r="H197" s="3" t="s">
        <v>65</v>
      </c>
      <c r="I197" s="3">
        <v>495.92</v>
      </c>
      <c r="J197" s="3">
        <v>7</v>
      </c>
      <c r="K197" s="3">
        <v>124.5102</v>
      </c>
    </row>
    <row r="198" spans="1:11" ht="15.6" x14ac:dyDescent="0.3">
      <c r="A198" s="7">
        <v>41893</v>
      </c>
      <c r="B198" s="8">
        <f>YEAR(A198)</f>
        <v>2014</v>
      </c>
      <c r="C198" s="8">
        <f>MONTH(A198)</f>
        <v>9</v>
      </c>
      <c r="D198" s="3" t="s">
        <v>14</v>
      </c>
      <c r="E198" s="3" t="s">
        <v>23</v>
      </c>
      <c r="F198" s="3" t="s">
        <v>31</v>
      </c>
      <c r="G198" s="3" t="s">
        <v>36</v>
      </c>
      <c r="H198" s="3" t="s">
        <v>50</v>
      </c>
      <c r="I198" s="3">
        <v>819</v>
      </c>
      <c r="J198" s="3">
        <v>4</v>
      </c>
      <c r="K198" s="3">
        <v>-98.812299999999993</v>
      </c>
    </row>
    <row r="199" spans="1:11" ht="15.6" x14ac:dyDescent="0.3">
      <c r="A199" s="7">
        <v>41893</v>
      </c>
      <c r="B199" s="8">
        <f>YEAR(A199)</f>
        <v>2014</v>
      </c>
      <c r="C199" s="8">
        <f>MONTH(A199)</f>
        <v>9</v>
      </c>
      <c r="D199" s="3" t="s">
        <v>15</v>
      </c>
      <c r="E199" s="3" t="s">
        <v>23</v>
      </c>
      <c r="F199" s="3" t="s">
        <v>29</v>
      </c>
      <c r="G199" s="3" t="s">
        <v>40</v>
      </c>
      <c r="H199" s="3" t="s">
        <v>56</v>
      </c>
      <c r="I199" s="3">
        <v>62.04</v>
      </c>
      <c r="J199" s="3">
        <v>2</v>
      </c>
      <c r="K199" s="3">
        <v>-3.9363000000000001</v>
      </c>
    </row>
    <row r="200" spans="1:11" ht="15.6" x14ac:dyDescent="0.3">
      <c r="A200" s="7">
        <v>41894</v>
      </c>
      <c r="B200" s="8">
        <f>YEAR(A200)</f>
        <v>2014</v>
      </c>
      <c r="C200" s="8">
        <f>MONTH(A200)</f>
        <v>9</v>
      </c>
      <c r="D200" s="3" t="s">
        <v>11</v>
      </c>
      <c r="E200" s="3" t="s">
        <v>19</v>
      </c>
      <c r="F200" s="3" t="s">
        <v>30</v>
      </c>
      <c r="G200" s="3" t="s">
        <v>33</v>
      </c>
      <c r="H200" s="3" t="s">
        <v>45</v>
      </c>
      <c r="I200" s="3">
        <v>1115.67</v>
      </c>
      <c r="J200" s="3">
        <v>3</v>
      </c>
      <c r="K200" s="3">
        <v>-77.020899999999997</v>
      </c>
    </row>
    <row r="201" spans="1:11" ht="15.6" x14ac:dyDescent="0.3">
      <c r="A201" s="7">
        <v>41894</v>
      </c>
      <c r="B201" s="8">
        <f>YEAR(A201)</f>
        <v>2014</v>
      </c>
      <c r="C201" s="8">
        <f>MONTH(A201)</f>
        <v>9</v>
      </c>
      <c r="D201" s="3" t="s">
        <v>11</v>
      </c>
      <c r="E201" s="3" t="s">
        <v>25</v>
      </c>
      <c r="F201" s="3" t="s">
        <v>31</v>
      </c>
      <c r="G201" s="3" t="s">
        <v>34</v>
      </c>
      <c r="H201" s="3" t="s">
        <v>47</v>
      </c>
      <c r="I201" s="3">
        <v>786.31</v>
      </c>
      <c r="J201" s="3">
        <v>5</v>
      </c>
      <c r="K201" s="3">
        <v>-68.513099999999994</v>
      </c>
    </row>
    <row r="202" spans="1:11" ht="15.6" x14ac:dyDescent="0.3">
      <c r="A202" s="7">
        <v>41896</v>
      </c>
      <c r="B202" s="8">
        <f>YEAR(A202)</f>
        <v>2014</v>
      </c>
      <c r="C202" s="8">
        <f>MONTH(A202)</f>
        <v>9</v>
      </c>
      <c r="D202" s="3" t="s">
        <v>18</v>
      </c>
      <c r="E202" s="3" t="s">
        <v>21</v>
      </c>
      <c r="F202" s="3" t="s">
        <v>31</v>
      </c>
      <c r="G202" s="3" t="s">
        <v>36</v>
      </c>
      <c r="H202" s="3" t="s">
        <v>70</v>
      </c>
      <c r="I202" s="3">
        <v>1166.99</v>
      </c>
      <c r="J202" s="3">
        <v>2</v>
      </c>
      <c r="K202" s="3">
        <v>-72.959199999999996</v>
      </c>
    </row>
    <row r="203" spans="1:11" ht="15.6" x14ac:dyDescent="0.3">
      <c r="A203" s="7">
        <v>41897</v>
      </c>
      <c r="B203" s="8">
        <f>YEAR(A203)</f>
        <v>2014</v>
      </c>
      <c r="C203" s="8">
        <f>MONTH(A203)</f>
        <v>9</v>
      </c>
      <c r="D203" s="3" t="s">
        <v>11</v>
      </c>
      <c r="E203" s="3" t="s">
        <v>19</v>
      </c>
      <c r="F203" s="3" t="s">
        <v>31</v>
      </c>
      <c r="G203" s="3" t="s">
        <v>43</v>
      </c>
      <c r="H203" s="3" t="s">
        <v>62</v>
      </c>
      <c r="I203" s="3">
        <v>587.97</v>
      </c>
      <c r="J203" s="3">
        <v>6</v>
      </c>
      <c r="K203" s="3">
        <v>197.7089</v>
      </c>
    </row>
    <row r="204" spans="1:11" ht="15.6" x14ac:dyDescent="0.3">
      <c r="A204" s="7">
        <v>41898</v>
      </c>
      <c r="B204" s="8">
        <f>YEAR(A204)</f>
        <v>2014</v>
      </c>
      <c r="C204" s="8">
        <f>MONTH(A204)</f>
        <v>9</v>
      </c>
      <c r="D204" s="3" t="s">
        <v>16</v>
      </c>
      <c r="E204" s="3" t="s">
        <v>20</v>
      </c>
      <c r="F204" s="3" t="s">
        <v>30</v>
      </c>
      <c r="G204" s="3" t="s">
        <v>37</v>
      </c>
      <c r="H204" s="3" t="s">
        <v>51</v>
      </c>
      <c r="I204" s="3">
        <v>626.96</v>
      </c>
      <c r="J204" s="3">
        <v>9</v>
      </c>
      <c r="K204" s="3">
        <v>-117.2754</v>
      </c>
    </row>
    <row r="205" spans="1:11" ht="15.6" x14ac:dyDescent="0.3">
      <c r="A205" s="7">
        <v>41900</v>
      </c>
      <c r="B205" s="8">
        <f>YEAR(A205)</f>
        <v>2014</v>
      </c>
      <c r="C205" s="8">
        <f>MONTH(A205)</f>
        <v>9</v>
      </c>
      <c r="D205" s="3" t="s">
        <v>15</v>
      </c>
      <c r="E205" s="3" t="s">
        <v>20</v>
      </c>
      <c r="F205" s="3" t="s">
        <v>30</v>
      </c>
      <c r="G205" s="3" t="s">
        <v>33</v>
      </c>
      <c r="H205" s="3" t="s">
        <v>60</v>
      </c>
      <c r="I205" s="3">
        <v>874.79</v>
      </c>
      <c r="J205" s="3">
        <v>4</v>
      </c>
      <c r="K205" s="3">
        <v>197.80420000000001</v>
      </c>
    </row>
    <row r="206" spans="1:11" ht="15.6" x14ac:dyDescent="0.3">
      <c r="A206" s="7">
        <v>41900</v>
      </c>
      <c r="B206" s="8">
        <f>YEAR(A206)</f>
        <v>2014</v>
      </c>
      <c r="C206" s="8">
        <f>MONTH(A206)</f>
        <v>9</v>
      </c>
      <c r="D206" s="3" t="s">
        <v>18</v>
      </c>
      <c r="E206" s="3" t="s">
        <v>22</v>
      </c>
      <c r="F206" s="3" t="s">
        <v>30</v>
      </c>
      <c r="G206" s="3" t="s">
        <v>35</v>
      </c>
      <c r="H206" s="3" t="s">
        <v>59</v>
      </c>
      <c r="I206" s="3">
        <v>584.29</v>
      </c>
      <c r="J206" s="3">
        <v>8</v>
      </c>
      <c r="K206" s="3">
        <v>-177.0171</v>
      </c>
    </row>
    <row r="207" spans="1:11" ht="15.6" x14ac:dyDescent="0.3">
      <c r="A207" s="7">
        <v>41901</v>
      </c>
      <c r="B207" s="8">
        <f>YEAR(A207)</f>
        <v>2014</v>
      </c>
      <c r="C207" s="8">
        <f>MONTH(A207)</f>
        <v>9</v>
      </c>
      <c r="D207" s="3" t="s">
        <v>12</v>
      </c>
      <c r="E207" s="3" t="s">
        <v>22</v>
      </c>
      <c r="F207" s="3" t="s">
        <v>30</v>
      </c>
      <c r="G207" s="3" t="s">
        <v>35</v>
      </c>
      <c r="H207" s="3" t="s">
        <v>49</v>
      </c>
      <c r="I207" s="3">
        <v>690.32</v>
      </c>
      <c r="J207" s="3">
        <v>3</v>
      </c>
      <c r="K207" s="3">
        <v>-206.376</v>
      </c>
    </row>
    <row r="208" spans="1:11" ht="15.6" x14ac:dyDescent="0.3">
      <c r="A208" s="7">
        <v>41902</v>
      </c>
      <c r="B208" s="8">
        <f>YEAR(A208)</f>
        <v>2014</v>
      </c>
      <c r="C208" s="8">
        <f>MONTH(A208)</f>
        <v>9</v>
      </c>
      <c r="D208" s="3" t="s">
        <v>10</v>
      </c>
      <c r="E208" s="3" t="s">
        <v>25</v>
      </c>
      <c r="F208" s="3" t="s">
        <v>31</v>
      </c>
      <c r="G208" s="3" t="s">
        <v>39</v>
      </c>
      <c r="H208" s="3" t="s">
        <v>71</v>
      </c>
      <c r="I208" s="3">
        <v>890.4</v>
      </c>
      <c r="J208" s="3">
        <v>9</v>
      </c>
      <c r="K208" s="3">
        <v>153.3168</v>
      </c>
    </row>
    <row r="209" spans="1:11" ht="15.6" x14ac:dyDescent="0.3">
      <c r="A209" s="7">
        <v>41904</v>
      </c>
      <c r="B209" s="8">
        <f>YEAR(A209)</f>
        <v>2014</v>
      </c>
      <c r="C209" s="8">
        <f>MONTH(A209)</f>
        <v>9</v>
      </c>
      <c r="D209" s="3" t="s">
        <v>11</v>
      </c>
      <c r="E209" s="3" t="s">
        <v>24</v>
      </c>
      <c r="F209" s="3" t="s">
        <v>30</v>
      </c>
      <c r="G209" s="3" t="s">
        <v>37</v>
      </c>
      <c r="H209" s="3" t="s">
        <v>51</v>
      </c>
      <c r="I209" s="3">
        <v>127.74</v>
      </c>
      <c r="J209" s="3">
        <v>9</v>
      </c>
      <c r="K209" s="3">
        <v>5.3015999999999996</v>
      </c>
    </row>
    <row r="210" spans="1:11" ht="15.6" x14ac:dyDescent="0.3">
      <c r="A210" s="7">
        <v>41905</v>
      </c>
      <c r="B210" s="8">
        <f>YEAR(A210)</f>
        <v>2014</v>
      </c>
      <c r="C210" s="8">
        <f>MONTH(A210)</f>
        <v>9</v>
      </c>
      <c r="D210" s="3" t="s">
        <v>15</v>
      </c>
      <c r="E210" s="3" t="s">
        <v>20</v>
      </c>
      <c r="F210" s="3" t="s">
        <v>30</v>
      </c>
      <c r="G210" s="3" t="s">
        <v>42</v>
      </c>
      <c r="H210" s="3" t="s">
        <v>69</v>
      </c>
      <c r="I210" s="3">
        <v>218.47</v>
      </c>
      <c r="J210" s="3">
        <v>1</v>
      </c>
      <c r="K210" s="3">
        <v>-54.276800000000001</v>
      </c>
    </row>
    <row r="211" spans="1:11" ht="15.6" x14ac:dyDescent="0.3">
      <c r="A211" s="7">
        <v>41906</v>
      </c>
      <c r="B211" s="8">
        <f>YEAR(A211)</f>
        <v>2014</v>
      </c>
      <c r="C211" s="8">
        <f>MONTH(A211)</f>
        <v>9</v>
      </c>
      <c r="D211" s="3" t="s">
        <v>11</v>
      </c>
      <c r="E211" s="3" t="s">
        <v>22</v>
      </c>
      <c r="F211" s="3" t="s">
        <v>31</v>
      </c>
      <c r="G211" s="3" t="s">
        <v>38</v>
      </c>
      <c r="H211" s="3" t="s">
        <v>53</v>
      </c>
      <c r="I211" s="3">
        <v>197.31</v>
      </c>
      <c r="J211" s="3">
        <v>5</v>
      </c>
      <c r="K211" s="3">
        <v>-78.0886</v>
      </c>
    </row>
    <row r="212" spans="1:11" ht="15.6" x14ac:dyDescent="0.3">
      <c r="A212" s="7">
        <v>41906</v>
      </c>
      <c r="B212" s="8">
        <f>YEAR(A212)</f>
        <v>2014</v>
      </c>
      <c r="C212" s="8">
        <f>MONTH(A212)</f>
        <v>9</v>
      </c>
      <c r="D212" s="3" t="s">
        <v>16</v>
      </c>
      <c r="E212" s="3" t="s">
        <v>23</v>
      </c>
      <c r="F212" s="3" t="s">
        <v>29</v>
      </c>
      <c r="G212" s="3" t="s">
        <v>32</v>
      </c>
      <c r="H212" s="3" t="s">
        <v>52</v>
      </c>
      <c r="I212" s="3">
        <v>520.41</v>
      </c>
      <c r="J212" s="3">
        <v>4</v>
      </c>
      <c r="K212" s="3">
        <v>26.052800000000001</v>
      </c>
    </row>
    <row r="213" spans="1:11" ht="15.6" x14ac:dyDescent="0.3">
      <c r="A213" s="7">
        <v>41908</v>
      </c>
      <c r="B213" s="8">
        <f>YEAR(A213)</f>
        <v>2014</v>
      </c>
      <c r="C213" s="8">
        <f>MONTH(A213)</f>
        <v>9</v>
      </c>
      <c r="D213" s="3" t="s">
        <v>14</v>
      </c>
      <c r="E213" s="3" t="s">
        <v>27</v>
      </c>
      <c r="F213" s="3" t="s">
        <v>30</v>
      </c>
      <c r="G213" s="3" t="s">
        <v>37</v>
      </c>
      <c r="H213" s="3" t="s">
        <v>51</v>
      </c>
      <c r="I213" s="3">
        <v>807.67</v>
      </c>
      <c r="J213" s="3">
        <v>5</v>
      </c>
      <c r="K213" s="3">
        <v>-46.103099999999998</v>
      </c>
    </row>
    <row r="214" spans="1:11" ht="15.6" x14ac:dyDescent="0.3">
      <c r="A214" s="7">
        <v>41908</v>
      </c>
      <c r="B214" s="8">
        <f>YEAR(A214)</f>
        <v>2014</v>
      </c>
      <c r="C214" s="8">
        <f>MONTH(A214)</f>
        <v>9</v>
      </c>
      <c r="D214" s="3" t="s">
        <v>9</v>
      </c>
      <c r="E214" s="3" t="s">
        <v>22</v>
      </c>
      <c r="F214" s="3" t="s">
        <v>31</v>
      </c>
      <c r="G214" s="3" t="s">
        <v>39</v>
      </c>
      <c r="H214" s="3" t="s">
        <v>54</v>
      </c>
      <c r="I214" s="3">
        <v>1108.47</v>
      </c>
      <c r="J214" s="3">
        <v>8</v>
      </c>
      <c r="K214" s="3">
        <v>-153.90280000000001</v>
      </c>
    </row>
    <row r="215" spans="1:11" ht="15.6" x14ac:dyDescent="0.3">
      <c r="A215" s="7">
        <v>41908</v>
      </c>
      <c r="B215" s="8">
        <f>YEAR(A215)</f>
        <v>2014</v>
      </c>
      <c r="C215" s="8">
        <f>MONTH(A215)</f>
        <v>9</v>
      </c>
      <c r="D215" s="3" t="s">
        <v>15</v>
      </c>
      <c r="E215" s="3" t="s">
        <v>26</v>
      </c>
      <c r="F215" s="3" t="s">
        <v>29</v>
      </c>
      <c r="G215" s="3" t="s">
        <v>40</v>
      </c>
      <c r="H215" s="3" t="s">
        <v>56</v>
      </c>
      <c r="I215" s="3">
        <v>1060.3900000000001</v>
      </c>
      <c r="J215" s="3">
        <v>7</v>
      </c>
      <c r="K215" s="3">
        <v>339.16840000000002</v>
      </c>
    </row>
    <row r="216" spans="1:11" ht="15.6" x14ac:dyDescent="0.3">
      <c r="A216" s="7">
        <v>41909</v>
      </c>
      <c r="B216" s="8">
        <f>YEAR(A216)</f>
        <v>2014</v>
      </c>
      <c r="C216" s="8">
        <f>MONTH(A216)</f>
        <v>9</v>
      </c>
      <c r="D216" s="3" t="s">
        <v>11</v>
      </c>
      <c r="E216" s="3" t="s">
        <v>23</v>
      </c>
      <c r="F216" s="3" t="s">
        <v>31</v>
      </c>
      <c r="G216" s="3" t="s">
        <v>39</v>
      </c>
      <c r="H216" s="3" t="s">
        <v>71</v>
      </c>
      <c r="I216" s="3">
        <v>112.71</v>
      </c>
      <c r="J216" s="3">
        <v>5</v>
      </c>
      <c r="K216" s="3">
        <v>-17.465599999999998</v>
      </c>
    </row>
    <row r="217" spans="1:11" ht="15.6" x14ac:dyDescent="0.3">
      <c r="A217" s="7">
        <v>41909</v>
      </c>
      <c r="B217" s="8">
        <f>YEAR(A217)</f>
        <v>2014</v>
      </c>
      <c r="C217" s="8">
        <f>MONTH(A217)</f>
        <v>9</v>
      </c>
      <c r="D217" s="3" t="s">
        <v>18</v>
      </c>
      <c r="E217" s="3" t="s">
        <v>23</v>
      </c>
      <c r="F217" s="3" t="s">
        <v>29</v>
      </c>
      <c r="G217" s="3" t="s">
        <v>41</v>
      </c>
      <c r="H217" s="3" t="s">
        <v>57</v>
      </c>
      <c r="I217" s="3">
        <v>1152.72</v>
      </c>
      <c r="J217" s="3">
        <v>1</v>
      </c>
      <c r="K217" s="3">
        <v>77.140299999999996</v>
      </c>
    </row>
    <row r="218" spans="1:11" ht="15.6" x14ac:dyDescent="0.3">
      <c r="A218" s="7">
        <v>41913</v>
      </c>
      <c r="B218" s="8">
        <f>YEAR(A218)</f>
        <v>2014</v>
      </c>
      <c r="C218" s="8">
        <f>MONTH(A218)</f>
        <v>10</v>
      </c>
      <c r="D218" s="3" t="s">
        <v>16</v>
      </c>
      <c r="E218" s="3" t="s">
        <v>27</v>
      </c>
      <c r="F218" s="3" t="s">
        <v>29</v>
      </c>
      <c r="G218" s="3" t="s">
        <v>41</v>
      </c>
      <c r="H218" s="3" t="s">
        <v>57</v>
      </c>
      <c r="I218" s="3">
        <v>576.42999999999995</v>
      </c>
      <c r="J218" s="3">
        <v>8</v>
      </c>
      <c r="K218" s="3">
        <v>92.690600000000003</v>
      </c>
    </row>
    <row r="219" spans="1:11" ht="15.6" x14ac:dyDescent="0.3">
      <c r="A219" s="7">
        <v>41915</v>
      </c>
      <c r="B219" s="8">
        <f>YEAR(A219)</f>
        <v>2014</v>
      </c>
      <c r="C219" s="8">
        <f>MONTH(A219)</f>
        <v>10</v>
      </c>
      <c r="D219" s="3" t="s">
        <v>17</v>
      </c>
      <c r="E219" s="3" t="s">
        <v>21</v>
      </c>
      <c r="F219" s="3" t="s">
        <v>30</v>
      </c>
      <c r="G219" s="3" t="s">
        <v>37</v>
      </c>
      <c r="H219" s="3" t="s">
        <v>64</v>
      </c>
      <c r="I219" s="3">
        <v>321.04000000000002</v>
      </c>
      <c r="J219" s="3">
        <v>2</v>
      </c>
      <c r="K219" s="3">
        <v>50.3431</v>
      </c>
    </row>
    <row r="220" spans="1:11" ht="15.6" x14ac:dyDescent="0.3">
      <c r="A220" s="7">
        <v>41915</v>
      </c>
      <c r="B220" s="8">
        <f>YEAR(A220)</f>
        <v>2014</v>
      </c>
      <c r="C220" s="8">
        <f>MONTH(A220)</f>
        <v>10</v>
      </c>
      <c r="D220" s="3" t="s">
        <v>15</v>
      </c>
      <c r="E220" s="3" t="s">
        <v>22</v>
      </c>
      <c r="F220" s="3" t="s">
        <v>30</v>
      </c>
      <c r="G220" s="3" t="s">
        <v>37</v>
      </c>
      <c r="H220" s="3" t="s">
        <v>64</v>
      </c>
      <c r="I220" s="3">
        <v>18.87</v>
      </c>
      <c r="J220" s="3">
        <v>1</v>
      </c>
      <c r="K220" s="3">
        <v>-5.5101000000000004</v>
      </c>
    </row>
    <row r="221" spans="1:11" ht="15.6" x14ac:dyDescent="0.3">
      <c r="A221" s="7">
        <v>41916</v>
      </c>
      <c r="B221" s="8">
        <f>YEAR(A221)</f>
        <v>2014</v>
      </c>
      <c r="C221" s="8">
        <f>MONTH(A221)</f>
        <v>10</v>
      </c>
      <c r="D221" s="3" t="s">
        <v>18</v>
      </c>
      <c r="E221" s="3" t="s">
        <v>21</v>
      </c>
      <c r="F221" s="3" t="s">
        <v>31</v>
      </c>
      <c r="G221" s="3" t="s">
        <v>38</v>
      </c>
      <c r="H221" s="3" t="s">
        <v>53</v>
      </c>
      <c r="I221" s="3">
        <v>1163.5999999999999</v>
      </c>
      <c r="J221" s="3">
        <v>9</v>
      </c>
      <c r="K221" s="3">
        <v>-310.94009999999997</v>
      </c>
    </row>
    <row r="222" spans="1:11" ht="15.6" x14ac:dyDescent="0.3">
      <c r="A222" s="7">
        <v>41917</v>
      </c>
      <c r="B222" s="8">
        <f>YEAR(A222)</f>
        <v>2014</v>
      </c>
      <c r="C222" s="8">
        <f>MONTH(A222)</f>
        <v>10</v>
      </c>
      <c r="D222" s="3" t="s">
        <v>10</v>
      </c>
      <c r="E222" s="3" t="s">
        <v>25</v>
      </c>
      <c r="F222" s="3" t="s">
        <v>30</v>
      </c>
      <c r="G222" s="3" t="s">
        <v>37</v>
      </c>
      <c r="H222" s="3" t="s">
        <v>51</v>
      </c>
      <c r="I222" s="3">
        <v>937.72</v>
      </c>
      <c r="J222" s="3">
        <v>9</v>
      </c>
      <c r="K222" s="3">
        <v>243.33779999999999</v>
      </c>
    </row>
    <row r="223" spans="1:11" ht="15.6" x14ac:dyDescent="0.3">
      <c r="A223" s="7">
        <v>41921</v>
      </c>
      <c r="B223" s="8">
        <f>YEAR(A223)</f>
        <v>2014</v>
      </c>
      <c r="C223" s="8">
        <f>MONTH(A223)</f>
        <v>10</v>
      </c>
      <c r="D223" s="3" t="s">
        <v>15</v>
      </c>
      <c r="E223" s="3" t="s">
        <v>25</v>
      </c>
      <c r="F223" s="3" t="s">
        <v>31</v>
      </c>
      <c r="G223" s="3" t="s">
        <v>36</v>
      </c>
      <c r="H223" s="3" t="s">
        <v>50</v>
      </c>
      <c r="I223" s="3">
        <v>200.72</v>
      </c>
      <c r="J223" s="3">
        <v>4</v>
      </c>
      <c r="K223" s="3">
        <v>-75.436199999999999</v>
      </c>
    </row>
    <row r="224" spans="1:11" ht="15.6" x14ac:dyDescent="0.3">
      <c r="A224" s="7">
        <v>41922</v>
      </c>
      <c r="B224" s="8">
        <f>YEAR(A224)</f>
        <v>2014</v>
      </c>
      <c r="C224" s="8">
        <f>MONTH(A224)</f>
        <v>10</v>
      </c>
      <c r="D224" s="3" t="s">
        <v>9</v>
      </c>
      <c r="E224" s="3" t="s">
        <v>25</v>
      </c>
      <c r="F224" s="3" t="s">
        <v>29</v>
      </c>
      <c r="G224" s="3" t="s">
        <v>32</v>
      </c>
      <c r="H224" s="3" t="s">
        <v>52</v>
      </c>
      <c r="I224" s="3">
        <v>151.97</v>
      </c>
      <c r="J224" s="3">
        <v>4</v>
      </c>
      <c r="K224" s="3">
        <v>-10.7395</v>
      </c>
    </row>
    <row r="225" spans="1:11" ht="15.6" x14ac:dyDescent="0.3">
      <c r="A225" s="7">
        <v>41923</v>
      </c>
      <c r="B225" s="8">
        <f>YEAR(A225)</f>
        <v>2014</v>
      </c>
      <c r="C225" s="8">
        <f>MONTH(A225)</f>
        <v>10</v>
      </c>
      <c r="D225" s="3" t="s">
        <v>15</v>
      </c>
      <c r="E225" s="3" t="s">
        <v>22</v>
      </c>
      <c r="F225" s="3" t="s">
        <v>31</v>
      </c>
      <c r="G225" s="3" t="s">
        <v>38</v>
      </c>
      <c r="H225" s="3" t="s">
        <v>63</v>
      </c>
      <c r="I225" s="3">
        <v>608.19000000000005</v>
      </c>
      <c r="J225" s="3">
        <v>8</v>
      </c>
      <c r="K225" s="3">
        <v>104.1581</v>
      </c>
    </row>
    <row r="226" spans="1:11" ht="15.6" x14ac:dyDescent="0.3">
      <c r="A226" s="7">
        <v>41924</v>
      </c>
      <c r="B226" s="8">
        <f>YEAR(A226)</f>
        <v>2014</v>
      </c>
      <c r="C226" s="8">
        <f>MONTH(A226)</f>
        <v>10</v>
      </c>
      <c r="D226" s="3" t="s">
        <v>13</v>
      </c>
      <c r="E226" s="3" t="s">
        <v>21</v>
      </c>
      <c r="F226" s="3" t="s">
        <v>30</v>
      </c>
      <c r="G226" s="3" t="s">
        <v>35</v>
      </c>
      <c r="H226" s="3" t="s">
        <v>66</v>
      </c>
      <c r="I226" s="3">
        <v>229.93</v>
      </c>
      <c r="J226" s="3">
        <v>7</v>
      </c>
      <c r="K226" s="3">
        <v>53.457700000000003</v>
      </c>
    </row>
    <row r="227" spans="1:11" ht="15.6" x14ac:dyDescent="0.3">
      <c r="A227" s="7">
        <v>41926</v>
      </c>
      <c r="B227" s="8">
        <f>YEAR(A227)</f>
        <v>2014</v>
      </c>
      <c r="C227" s="8">
        <f>MONTH(A227)</f>
        <v>10</v>
      </c>
      <c r="D227" s="3" t="s">
        <v>18</v>
      </c>
      <c r="E227" s="3" t="s">
        <v>28</v>
      </c>
      <c r="F227" s="3" t="s">
        <v>30</v>
      </c>
      <c r="G227" s="3" t="s">
        <v>37</v>
      </c>
      <c r="H227" s="3" t="s">
        <v>64</v>
      </c>
      <c r="I227" s="3">
        <v>865.77</v>
      </c>
      <c r="J227" s="3">
        <v>8</v>
      </c>
      <c r="K227" s="3">
        <v>-226.80070000000001</v>
      </c>
    </row>
    <row r="228" spans="1:11" ht="15.6" x14ac:dyDescent="0.3">
      <c r="A228" s="7">
        <v>41926</v>
      </c>
      <c r="B228" s="8">
        <f>YEAR(A228)</f>
        <v>2014</v>
      </c>
      <c r="C228" s="8">
        <f>MONTH(A228)</f>
        <v>10</v>
      </c>
      <c r="D228" s="3" t="s">
        <v>17</v>
      </c>
      <c r="E228" s="3" t="s">
        <v>22</v>
      </c>
      <c r="F228" s="3" t="s">
        <v>29</v>
      </c>
      <c r="G228" s="3" t="s">
        <v>32</v>
      </c>
      <c r="H228" s="3" t="s">
        <v>48</v>
      </c>
      <c r="I228" s="3">
        <v>866.93</v>
      </c>
      <c r="J228" s="3">
        <v>8</v>
      </c>
      <c r="K228" s="3">
        <v>301.7799</v>
      </c>
    </row>
    <row r="229" spans="1:11" ht="15.6" x14ac:dyDescent="0.3">
      <c r="A229" s="7">
        <v>41929</v>
      </c>
      <c r="B229" s="8">
        <f>YEAR(A229)</f>
        <v>2014</v>
      </c>
      <c r="C229" s="8">
        <f>MONTH(A229)</f>
        <v>10</v>
      </c>
      <c r="D229" s="3" t="s">
        <v>10</v>
      </c>
      <c r="E229" s="3" t="s">
        <v>24</v>
      </c>
      <c r="F229" s="3" t="s">
        <v>30</v>
      </c>
      <c r="G229" s="3" t="s">
        <v>37</v>
      </c>
      <c r="H229" s="3" t="s">
        <v>51</v>
      </c>
      <c r="I229" s="3">
        <v>835.61</v>
      </c>
      <c r="J229" s="3">
        <v>1</v>
      </c>
      <c r="K229" s="3">
        <v>-98.221800000000002</v>
      </c>
    </row>
    <row r="230" spans="1:11" ht="15.6" x14ac:dyDescent="0.3">
      <c r="A230" s="7">
        <v>41929</v>
      </c>
      <c r="B230" s="8">
        <f>YEAR(A230)</f>
        <v>2014</v>
      </c>
      <c r="C230" s="8">
        <f>MONTH(A230)</f>
        <v>10</v>
      </c>
      <c r="D230" s="3" t="s">
        <v>17</v>
      </c>
      <c r="E230" s="3" t="s">
        <v>24</v>
      </c>
      <c r="F230" s="3" t="s">
        <v>30</v>
      </c>
      <c r="G230" s="3" t="s">
        <v>42</v>
      </c>
      <c r="H230" s="3" t="s">
        <v>58</v>
      </c>
      <c r="I230" s="3">
        <v>589.23</v>
      </c>
      <c r="J230" s="3">
        <v>1</v>
      </c>
      <c r="K230" s="3">
        <v>-27.449400000000001</v>
      </c>
    </row>
    <row r="231" spans="1:11" ht="15.6" x14ac:dyDescent="0.3">
      <c r="A231" s="7">
        <v>41930</v>
      </c>
      <c r="B231" s="8">
        <f>YEAR(A231)</f>
        <v>2014</v>
      </c>
      <c r="C231" s="8">
        <f>MONTH(A231)</f>
        <v>10</v>
      </c>
      <c r="D231" s="3" t="s">
        <v>12</v>
      </c>
      <c r="E231" s="3" t="s">
        <v>20</v>
      </c>
      <c r="F231" s="3" t="s">
        <v>31</v>
      </c>
      <c r="G231" s="3" t="s">
        <v>38</v>
      </c>
      <c r="H231" s="3" t="s">
        <v>53</v>
      </c>
      <c r="I231" s="3">
        <v>316.19</v>
      </c>
      <c r="J231" s="3">
        <v>6</v>
      </c>
      <c r="K231" s="3">
        <v>-116.0033</v>
      </c>
    </row>
    <row r="232" spans="1:11" ht="15.6" x14ac:dyDescent="0.3">
      <c r="A232" s="7">
        <v>41932</v>
      </c>
      <c r="B232" s="8">
        <f>YEAR(A232)</f>
        <v>2014</v>
      </c>
      <c r="C232" s="8">
        <f>MONTH(A232)</f>
        <v>10</v>
      </c>
      <c r="D232" s="3" t="s">
        <v>15</v>
      </c>
      <c r="E232" s="3" t="s">
        <v>23</v>
      </c>
      <c r="F232" s="3" t="s">
        <v>30</v>
      </c>
      <c r="G232" s="3" t="s">
        <v>33</v>
      </c>
      <c r="H232" s="3" t="s">
        <v>45</v>
      </c>
      <c r="I232" s="3">
        <v>86.75</v>
      </c>
      <c r="J232" s="3">
        <v>10</v>
      </c>
      <c r="K232" s="3">
        <v>-34.148600000000002</v>
      </c>
    </row>
    <row r="233" spans="1:11" ht="15.6" x14ac:dyDescent="0.3">
      <c r="A233" s="7">
        <v>41932</v>
      </c>
      <c r="B233" s="8">
        <f>YEAR(A233)</f>
        <v>2014</v>
      </c>
      <c r="C233" s="8">
        <f>MONTH(A233)</f>
        <v>10</v>
      </c>
      <c r="D233" s="3" t="s">
        <v>18</v>
      </c>
      <c r="E233" s="3" t="s">
        <v>28</v>
      </c>
      <c r="F233" s="3" t="s">
        <v>30</v>
      </c>
      <c r="G233" s="3" t="s">
        <v>35</v>
      </c>
      <c r="H233" s="3" t="s">
        <v>66</v>
      </c>
      <c r="I233" s="3">
        <v>954.57</v>
      </c>
      <c r="J233" s="3">
        <v>3</v>
      </c>
      <c r="K233" s="3">
        <v>64.346400000000003</v>
      </c>
    </row>
    <row r="234" spans="1:11" ht="15.6" x14ac:dyDescent="0.3">
      <c r="A234" s="7">
        <v>41933</v>
      </c>
      <c r="B234" s="8">
        <f>YEAR(A234)</f>
        <v>2014</v>
      </c>
      <c r="C234" s="8">
        <f>MONTH(A234)</f>
        <v>10</v>
      </c>
      <c r="D234" s="3" t="s">
        <v>16</v>
      </c>
      <c r="E234" s="3" t="s">
        <v>27</v>
      </c>
      <c r="F234" s="3" t="s">
        <v>31</v>
      </c>
      <c r="G234" s="3" t="s">
        <v>39</v>
      </c>
      <c r="H234" s="3" t="s">
        <v>54</v>
      </c>
      <c r="I234" s="3">
        <v>681.75</v>
      </c>
      <c r="J234" s="3">
        <v>7</v>
      </c>
      <c r="K234" s="3">
        <v>-237.12010000000001</v>
      </c>
    </row>
    <row r="235" spans="1:11" ht="15.6" x14ac:dyDescent="0.3">
      <c r="A235" s="7">
        <v>41936</v>
      </c>
      <c r="B235" s="8">
        <f>YEAR(A235)</f>
        <v>2014</v>
      </c>
      <c r="C235" s="8">
        <f>MONTH(A235)</f>
        <v>10</v>
      </c>
      <c r="D235" s="3" t="s">
        <v>18</v>
      </c>
      <c r="E235" s="3" t="s">
        <v>28</v>
      </c>
      <c r="F235" s="3" t="s">
        <v>30</v>
      </c>
      <c r="G235" s="3" t="s">
        <v>33</v>
      </c>
      <c r="H235" s="3" t="s">
        <v>60</v>
      </c>
      <c r="I235" s="3">
        <v>463.39</v>
      </c>
      <c r="J235" s="3">
        <v>10</v>
      </c>
      <c r="K235" s="3">
        <v>-8.7207000000000008</v>
      </c>
    </row>
    <row r="236" spans="1:11" ht="15.6" x14ac:dyDescent="0.3">
      <c r="A236" s="7">
        <v>41937</v>
      </c>
      <c r="B236" s="8">
        <f>YEAR(A236)</f>
        <v>2014</v>
      </c>
      <c r="C236" s="8">
        <f>MONTH(A236)</f>
        <v>10</v>
      </c>
      <c r="D236" s="3" t="s">
        <v>12</v>
      </c>
      <c r="E236" s="3" t="s">
        <v>19</v>
      </c>
      <c r="F236" s="3" t="s">
        <v>29</v>
      </c>
      <c r="G236" s="3" t="s">
        <v>32</v>
      </c>
      <c r="H236" s="3" t="s">
        <v>44</v>
      </c>
      <c r="I236" s="3">
        <v>1025.33</v>
      </c>
      <c r="J236" s="3">
        <v>10</v>
      </c>
      <c r="K236" s="3">
        <v>234.29900000000001</v>
      </c>
    </row>
    <row r="237" spans="1:11" ht="15.6" x14ac:dyDescent="0.3">
      <c r="A237" s="7">
        <v>41937</v>
      </c>
      <c r="B237" s="8">
        <f>YEAR(A237)</f>
        <v>2014</v>
      </c>
      <c r="C237" s="8">
        <f>MONTH(A237)</f>
        <v>10</v>
      </c>
      <c r="D237" s="3" t="s">
        <v>14</v>
      </c>
      <c r="E237" s="3" t="s">
        <v>19</v>
      </c>
      <c r="F237" s="3" t="s">
        <v>30</v>
      </c>
      <c r="G237" s="3" t="s">
        <v>33</v>
      </c>
      <c r="H237" s="3" t="s">
        <v>60</v>
      </c>
      <c r="I237" s="3">
        <v>781.44</v>
      </c>
      <c r="J237" s="3">
        <v>7</v>
      </c>
      <c r="K237" s="3">
        <v>180.95590000000001</v>
      </c>
    </row>
    <row r="238" spans="1:11" ht="15.6" x14ac:dyDescent="0.3">
      <c r="A238" s="7">
        <v>41938</v>
      </c>
      <c r="B238" s="8">
        <f>YEAR(A238)</f>
        <v>2014</v>
      </c>
      <c r="C238" s="8">
        <f>MONTH(A238)</f>
        <v>10</v>
      </c>
      <c r="D238" s="3" t="s">
        <v>15</v>
      </c>
      <c r="E238" s="3" t="s">
        <v>27</v>
      </c>
      <c r="F238" s="3" t="s">
        <v>31</v>
      </c>
      <c r="G238" s="3" t="s">
        <v>39</v>
      </c>
      <c r="H238" s="3" t="s">
        <v>54</v>
      </c>
      <c r="I238" s="3">
        <v>24.38</v>
      </c>
      <c r="J238" s="3">
        <v>9</v>
      </c>
      <c r="K238" s="3">
        <v>7.3400999999999996</v>
      </c>
    </row>
    <row r="239" spans="1:11" ht="15.6" x14ac:dyDescent="0.3">
      <c r="A239" s="7">
        <v>41938</v>
      </c>
      <c r="B239" s="8">
        <f>YEAR(A239)</f>
        <v>2014</v>
      </c>
      <c r="C239" s="8">
        <f>MONTH(A239)</f>
        <v>10</v>
      </c>
      <c r="D239" s="3" t="s">
        <v>11</v>
      </c>
      <c r="E239" s="3" t="s">
        <v>23</v>
      </c>
      <c r="F239" s="3" t="s">
        <v>30</v>
      </c>
      <c r="G239" s="3" t="s">
        <v>37</v>
      </c>
      <c r="H239" s="3" t="s">
        <v>51</v>
      </c>
      <c r="I239" s="3">
        <v>531.35</v>
      </c>
      <c r="J239" s="3">
        <v>4</v>
      </c>
      <c r="K239" s="3">
        <v>-132.96289999999999</v>
      </c>
    </row>
    <row r="240" spans="1:11" ht="15.6" x14ac:dyDescent="0.3">
      <c r="A240" s="7">
        <v>41938</v>
      </c>
      <c r="B240" s="8">
        <f>YEAR(A240)</f>
        <v>2014</v>
      </c>
      <c r="C240" s="8">
        <f>MONTH(A240)</f>
        <v>10</v>
      </c>
      <c r="D240" s="3" t="s">
        <v>16</v>
      </c>
      <c r="E240" s="3" t="s">
        <v>24</v>
      </c>
      <c r="F240" s="3" t="s">
        <v>31</v>
      </c>
      <c r="G240" s="3" t="s">
        <v>43</v>
      </c>
      <c r="H240" s="3" t="s">
        <v>68</v>
      </c>
      <c r="I240" s="3">
        <v>39.380000000000003</v>
      </c>
      <c r="J240" s="3">
        <v>5</v>
      </c>
      <c r="K240" s="3">
        <v>-8.7969000000000008</v>
      </c>
    </row>
    <row r="241" spans="1:11" ht="15.6" x14ac:dyDescent="0.3">
      <c r="A241" s="7">
        <v>41943</v>
      </c>
      <c r="B241" s="8">
        <f>YEAR(A241)</f>
        <v>2014</v>
      </c>
      <c r="C241" s="8">
        <f>MONTH(A241)</f>
        <v>10</v>
      </c>
      <c r="D241" s="3" t="s">
        <v>16</v>
      </c>
      <c r="E241" s="3" t="s">
        <v>26</v>
      </c>
      <c r="F241" s="3" t="s">
        <v>30</v>
      </c>
      <c r="G241" s="3" t="s">
        <v>35</v>
      </c>
      <c r="H241" s="3" t="s">
        <v>66</v>
      </c>
      <c r="I241" s="3">
        <v>114</v>
      </c>
      <c r="J241" s="3">
        <v>4</v>
      </c>
      <c r="K241" s="3">
        <v>37.1982</v>
      </c>
    </row>
    <row r="242" spans="1:11" ht="15.6" x14ac:dyDescent="0.3">
      <c r="A242" s="7">
        <v>41943</v>
      </c>
      <c r="B242" s="8">
        <f>YEAR(A242)</f>
        <v>2014</v>
      </c>
      <c r="C242" s="8">
        <f>MONTH(A242)</f>
        <v>10</v>
      </c>
      <c r="D242" s="3" t="s">
        <v>10</v>
      </c>
      <c r="E242" s="3" t="s">
        <v>24</v>
      </c>
      <c r="F242" s="3" t="s">
        <v>30</v>
      </c>
      <c r="G242" s="3" t="s">
        <v>37</v>
      </c>
      <c r="H242" s="3" t="s">
        <v>51</v>
      </c>
      <c r="I242" s="3">
        <v>571.41999999999996</v>
      </c>
      <c r="J242" s="3">
        <v>1</v>
      </c>
      <c r="K242" s="3">
        <v>-178.65780000000001</v>
      </c>
    </row>
    <row r="243" spans="1:11" ht="15.6" x14ac:dyDescent="0.3">
      <c r="A243" s="7">
        <v>41944</v>
      </c>
      <c r="B243" s="8">
        <f>YEAR(A243)</f>
        <v>2014</v>
      </c>
      <c r="C243" s="8">
        <f>MONTH(A243)</f>
        <v>11</v>
      </c>
      <c r="D243" s="3" t="s">
        <v>16</v>
      </c>
      <c r="E243" s="3" t="s">
        <v>26</v>
      </c>
      <c r="F243" s="3" t="s">
        <v>29</v>
      </c>
      <c r="G243" s="3" t="s">
        <v>40</v>
      </c>
      <c r="H243" s="3" t="s">
        <v>56</v>
      </c>
      <c r="I243" s="3">
        <v>538.62</v>
      </c>
      <c r="J243" s="3">
        <v>8</v>
      </c>
      <c r="K243" s="3">
        <v>-76.03</v>
      </c>
    </row>
    <row r="244" spans="1:11" ht="15.6" x14ac:dyDescent="0.3">
      <c r="A244" s="7">
        <v>41944</v>
      </c>
      <c r="B244" s="8">
        <f>YEAR(A244)</f>
        <v>2014</v>
      </c>
      <c r="C244" s="8">
        <f>MONTH(A244)</f>
        <v>11</v>
      </c>
      <c r="D244" s="3" t="s">
        <v>18</v>
      </c>
      <c r="E244" s="3" t="s">
        <v>22</v>
      </c>
      <c r="F244" s="3" t="s">
        <v>30</v>
      </c>
      <c r="G244" s="3" t="s">
        <v>33</v>
      </c>
      <c r="H244" s="3" t="s">
        <v>55</v>
      </c>
      <c r="I244" s="3">
        <v>1181.0999999999999</v>
      </c>
      <c r="J244" s="3">
        <v>5</v>
      </c>
      <c r="K244" s="3">
        <v>273.0154</v>
      </c>
    </row>
    <row r="245" spans="1:11" ht="15.6" x14ac:dyDescent="0.3">
      <c r="A245" s="7">
        <v>41945</v>
      </c>
      <c r="B245" s="8">
        <f>YEAR(A245)</f>
        <v>2014</v>
      </c>
      <c r="C245" s="8">
        <f>MONTH(A245)</f>
        <v>11</v>
      </c>
      <c r="D245" s="3" t="s">
        <v>17</v>
      </c>
      <c r="E245" s="3" t="s">
        <v>24</v>
      </c>
      <c r="F245" s="3" t="s">
        <v>31</v>
      </c>
      <c r="G245" s="3" t="s">
        <v>39</v>
      </c>
      <c r="H245" s="3" t="s">
        <v>54</v>
      </c>
      <c r="I245" s="3">
        <v>1090.55</v>
      </c>
      <c r="J245" s="3">
        <v>3</v>
      </c>
      <c r="K245" s="3">
        <v>-377.81299999999999</v>
      </c>
    </row>
    <row r="246" spans="1:11" ht="15.6" x14ac:dyDescent="0.3">
      <c r="A246" s="7">
        <v>41945</v>
      </c>
      <c r="B246" s="8">
        <f>YEAR(A246)</f>
        <v>2014</v>
      </c>
      <c r="C246" s="8">
        <f>MONTH(A246)</f>
        <v>11</v>
      </c>
      <c r="D246" s="3" t="s">
        <v>12</v>
      </c>
      <c r="E246" s="3" t="s">
        <v>26</v>
      </c>
      <c r="F246" s="3" t="s">
        <v>29</v>
      </c>
      <c r="G246" s="3" t="s">
        <v>41</v>
      </c>
      <c r="H246" s="3" t="s">
        <v>57</v>
      </c>
      <c r="I246" s="3">
        <v>546.29999999999995</v>
      </c>
      <c r="J246" s="3">
        <v>5</v>
      </c>
      <c r="K246" s="3">
        <v>-58.734400000000001</v>
      </c>
    </row>
    <row r="247" spans="1:11" ht="15.6" x14ac:dyDescent="0.3">
      <c r="A247" s="7">
        <v>41946</v>
      </c>
      <c r="B247" s="8">
        <f>YEAR(A247)</f>
        <v>2014</v>
      </c>
      <c r="C247" s="8">
        <f>MONTH(A247)</f>
        <v>11</v>
      </c>
      <c r="D247" s="3" t="s">
        <v>11</v>
      </c>
      <c r="E247" s="3" t="s">
        <v>24</v>
      </c>
      <c r="F247" s="3" t="s">
        <v>29</v>
      </c>
      <c r="G247" s="3" t="s">
        <v>40</v>
      </c>
      <c r="H247" s="3" t="s">
        <v>56</v>
      </c>
      <c r="I247" s="3">
        <v>728.59</v>
      </c>
      <c r="J247" s="3">
        <v>3</v>
      </c>
      <c r="K247" s="3">
        <v>-31.4009</v>
      </c>
    </row>
    <row r="248" spans="1:11" ht="15.6" x14ac:dyDescent="0.3">
      <c r="A248" s="7">
        <v>41947</v>
      </c>
      <c r="B248" s="8">
        <f>YEAR(A248)</f>
        <v>2014</v>
      </c>
      <c r="C248" s="8">
        <f>MONTH(A248)</f>
        <v>11</v>
      </c>
      <c r="D248" s="3" t="s">
        <v>9</v>
      </c>
      <c r="E248" s="3" t="s">
        <v>21</v>
      </c>
      <c r="F248" s="3" t="s">
        <v>29</v>
      </c>
      <c r="G248" s="3" t="s">
        <v>32</v>
      </c>
      <c r="H248" s="3" t="s">
        <v>44</v>
      </c>
      <c r="I248" s="3">
        <v>228.35</v>
      </c>
      <c r="J248" s="3">
        <v>6</v>
      </c>
      <c r="K248" s="3">
        <v>11.763500000000001</v>
      </c>
    </row>
    <row r="249" spans="1:11" ht="15.6" x14ac:dyDescent="0.3">
      <c r="A249" s="7">
        <v>41948</v>
      </c>
      <c r="B249" s="8">
        <f>YEAR(A249)</f>
        <v>2014</v>
      </c>
      <c r="C249" s="8">
        <f>MONTH(A249)</f>
        <v>11</v>
      </c>
      <c r="D249" s="3" t="s">
        <v>15</v>
      </c>
      <c r="E249" s="3" t="s">
        <v>27</v>
      </c>
      <c r="F249" s="3" t="s">
        <v>29</v>
      </c>
      <c r="G249" s="3" t="s">
        <v>41</v>
      </c>
      <c r="H249" s="3" t="s">
        <v>57</v>
      </c>
      <c r="I249" s="3">
        <v>281.36</v>
      </c>
      <c r="J249" s="3">
        <v>3</v>
      </c>
      <c r="K249" s="3">
        <v>36.5246</v>
      </c>
    </row>
    <row r="250" spans="1:11" ht="15.6" x14ac:dyDescent="0.3">
      <c r="A250" s="7">
        <v>41948</v>
      </c>
      <c r="B250" s="8">
        <f>YEAR(A250)</f>
        <v>2014</v>
      </c>
      <c r="C250" s="8">
        <f>MONTH(A250)</f>
        <v>11</v>
      </c>
      <c r="D250" s="3" t="s">
        <v>16</v>
      </c>
      <c r="E250" s="3" t="s">
        <v>20</v>
      </c>
      <c r="F250" s="3" t="s">
        <v>29</v>
      </c>
      <c r="G250" s="3" t="s">
        <v>41</v>
      </c>
      <c r="H250" s="3" t="s">
        <v>65</v>
      </c>
      <c r="I250" s="3">
        <v>1050.6199999999999</v>
      </c>
      <c r="J250" s="3">
        <v>9</v>
      </c>
      <c r="K250" s="3">
        <v>329.97719999999998</v>
      </c>
    </row>
    <row r="251" spans="1:11" ht="15.6" x14ac:dyDescent="0.3">
      <c r="A251" s="7">
        <v>41949</v>
      </c>
      <c r="B251" s="8">
        <f>YEAR(A251)</f>
        <v>2014</v>
      </c>
      <c r="C251" s="8">
        <f>MONTH(A251)</f>
        <v>11</v>
      </c>
      <c r="D251" s="3" t="s">
        <v>18</v>
      </c>
      <c r="E251" s="3" t="s">
        <v>23</v>
      </c>
      <c r="F251" s="3" t="s">
        <v>30</v>
      </c>
      <c r="G251" s="3" t="s">
        <v>37</v>
      </c>
      <c r="H251" s="3" t="s">
        <v>64</v>
      </c>
      <c r="I251" s="3">
        <v>903.92</v>
      </c>
      <c r="J251" s="3">
        <v>2</v>
      </c>
      <c r="K251" s="3">
        <v>-303.46359999999999</v>
      </c>
    </row>
    <row r="252" spans="1:11" ht="15.6" x14ac:dyDescent="0.3">
      <c r="A252" s="7">
        <v>41950</v>
      </c>
      <c r="B252" s="8">
        <f>YEAR(A252)</f>
        <v>2014</v>
      </c>
      <c r="C252" s="8">
        <f>MONTH(A252)</f>
        <v>11</v>
      </c>
      <c r="D252" s="3" t="s">
        <v>13</v>
      </c>
      <c r="E252" s="3" t="s">
        <v>19</v>
      </c>
      <c r="F252" s="3" t="s">
        <v>29</v>
      </c>
      <c r="G252" s="3" t="s">
        <v>32</v>
      </c>
      <c r="H252" s="3" t="s">
        <v>44</v>
      </c>
      <c r="I252" s="3">
        <v>413.43</v>
      </c>
      <c r="J252" s="3">
        <v>7</v>
      </c>
      <c r="K252" s="3">
        <v>38.3245</v>
      </c>
    </row>
    <row r="253" spans="1:11" ht="15.6" x14ac:dyDescent="0.3">
      <c r="A253" s="7">
        <v>41950</v>
      </c>
      <c r="B253" s="8">
        <f>YEAR(A253)</f>
        <v>2014</v>
      </c>
      <c r="C253" s="8">
        <f>MONTH(A253)</f>
        <v>11</v>
      </c>
      <c r="D253" s="3" t="s">
        <v>13</v>
      </c>
      <c r="E253" s="3" t="s">
        <v>27</v>
      </c>
      <c r="F253" s="3" t="s">
        <v>29</v>
      </c>
      <c r="G253" s="3" t="s">
        <v>40</v>
      </c>
      <c r="H253" s="3" t="s">
        <v>61</v>
      </c>
      <c r="I253" s="3">
        <v>905.08</v>
      </c>
      <c r="J253" s="3">
        <v>9</v>
      </c>
      <c r="K253" s="3">
        <v>-75.762699999999995</v>
      </c>
    </row>
    <row r="254" spans="1:11" ht="15.6" x14ac:dyDescent="0.3">
      <c r="A254" s="7">
        <v>41953</v>
      </c>
      <c r="B254" s="8">
        <f>YEAR(A254)</f>
        <v>2014</v>
      </c>
      <c r="C254" s="8">
        <f>MONTH(A254)</f>
        <v>11</v>
      </c>
      <c r="D254" s="3" t="s">
        <v>17</v>
      </c>
      <c r="E254" s="3" t="s">
        <v>25</v>
      </c>
      <c r="F254" s="3" t="s">
        <v>31</v>
      </c>
      <c r="G254" s="3" t="s">
        <v>38</v>
      </c>
      <c r="H254" s="3" t="s">
        <v>63</v>
      </c>
      <c r="I254" s="3">
        <v>65.37</v>
      </c>
      <c r="J254" s="3">
        <v>7</v>
      </c>
      <c r="K254" s="3">
        <v>21.459700000000002</v>
      </c>
    </row>
    <row r="255" spans="1:11" ht="15.6" x14ac:dyDescent="0.3">
      <c r="A255" s="7">
        <v>41955</v>
      </c>
      <c r="B255" s="8">
        <f>YEAR(A255)</f>
        <v>2014</v>
      </c>
      <c r="C255" s="8">
        <f>MONTH(A255)</f>
        <v>11</v>
      </c>
      <c r="D255" s="3" t="s">
        <v>16</v>
      </c>
      <c r="E255" s="3" t="s">
        <v>25</v>
      </c>
      <c r="F255" s="3" t="s">
        <v>30</v>
      </c>
      <c r="G255" s="3" t="s">
        <v>37</v>
      </c>
      <c r="H255" s="3" t="s">
        <v>64</v>
      </c>
      <c r="I255" s="3">
        <v>371.62</v>
      </c>
      <c r="J255" s="3">
        <v>7</v>
      </c>
      <c r="K255" s="3">
        <v>40.490400000000001</v>
      </c>
    </row>
    <row r="256" spans="1:11" ht="15.6" x14ac:dyDescent="0.3">
      <c r="A256" s="7">
        <v>41956</v>
      </c>
      <c r="B256" s="8">
        <f>YEAR(A256)</f>
        <v>2014</v>
      </c>
      <c r="C256" s="8">
        <f>MONTH(A256)</f>
        <v>11</v>
      </c>
      <c r="D256" s="3" t="s">
        <v>18</v>
      </c>
      <c r="E256" s="3" t="s">
        <v>19</v>
      </c>
      <c r="F256" s="3" t="s">
        <v>29</v>
      </c>
      <c r="G256" s="3" t="s">
        <v>41</v>
      </c>
      <c r="H256" s="3" t="s">
        <v>65</v>
      </c>
      <c r="I256" s="3">
        <v>94.42</v>
      </c>
      <c r="J256" s="3">
        <v>5</v>
      </c>
      <c r="K256" s="3">
        <v>-13.7928</v>
      </c>
    </row>
    <row r="257" spans="1:11" ht="15.6" x14ac:dyDescent="0.3">
      <c r="A257" s="7">
        <v>41962</v>
      </c>
      <c r="B257" s="8">
        <f>YEAR(A257)</f>
        <v>2014</v>
      </c>
      <c r="C257" s="8">
        <f>MONTH(A257)</f>
        <v>11</v>
      </c>
      <c r="D257" s="3" t="s">
        <v>9</v>
      </c>
      <c r="E257" s="3" t="s">
        <v>21</v>
      </c>
      <c r="F257" s="3" t="s">
        <v>29</v>
      </c>
      <c r="G257" s="3" t="s">
        <v>32</v>
      </c>
      <c r="H257" s="3" t="s">
        <v>52</v>
      </c>
      <c r="I257" s="3">
        <v>855.61</v>
      </c>
      <c r="J257" s="3">
        <v>3</v>
      </c>
      <c r="K257" s="3">
        <v>167.07689999999999</v>
      </c>
    </row>
    <row r="258" spans="1:11" ht="15.6" x14ac:dyDescent="0.3">
      <c r="A258" s="7">
        <v>41963</v>
      </c>
      <c r="B258" s="8">
        <f>YEAR(A258)</f>
        <v>2014</v>
      </c>
      <c r="C258" s="8">
        <f>MONTH(A258)</f>
        <v>11</v>
      </c>
      <c r="D258" s="3" t="s">
        <v>15</v>
      </c>
      <c r="E258" s="3" t="s">
        <v>20</v>
      </c>
      <c r="F258" s="3" t="s">
        <v>30</v>
      </c>
      <c r="G258" s="3" t="s">
        <v>37</v>
      </c>
      <c r="H258" s="3" t="s">
        <v>51</v>
      </c>
      <c r="I258" s="3">
        <v>528.63</v>
      </c>
      <c r="J258" s="3">
        <v>9</v>
      </c>
      <c r="K258" s="3">
        <v>67.482200000000006</v>
      </c>
    </row>
    <row r="259" spans="1:11" ht="15.6" x14ac:dyDescent="0.3">
      <c r="A259" s="7">
        <v>41963</v>
      </c>
      <c r="B259" s="8">
        <f>YEAR(A259)</f>
        <v>2014</v>
      </c>
      <c r="C259" s="8">
        <f>MONTH(A259)</f>
        <v>11</v>
      </c>
      <c r="D259" s="3" t="s">
        <v>13</v>
      </c>
      <c r="E259" s="3" t="s">
        <v>23</v>
      </c>
      <c r="F259" s="3" t="s">
        <v>31</v>
      </c>
      <c r="G259" s="3" t="s">
        <v>39</v>
      </c>
      <c r="H259" s="3" t="s">
        <v>54</v>
      </c>
      <c r="I259" s="3">
        <v>530.33000000000004</v>
      </c>
      <c r="J259" s="3">
        <v>8</v>
      </c>
      <c r="K259" s="3">
        <v>-27.401299999999999</v>
      </c>
    </row>
    <row r="260" spans="1:11" ht="15.6" x14ac:dyDescent="0.3">
      <c r="A260" s="7">
        <v>41966</v>
      </c>
      <c r="B260" s="8">
        <f>YEAR(A260)</f>
        <v>2014</v>
      </c>
      <c r="C260" s="8">
        <f>MONTH(A260)</f>
        <v>11</v>
      </c>
      <c r="D260" s="3" t="s">
        <v>17</v>
      </c>
      <c r="E260" s="3" t="s">
        <v>25</v>
      </c>
      <c r="F260" s="3" t="s">
        <v>29</v>
      </c>
      <c r="G260" s="3" t="s">
        <v>41</v>
      </c>
      <c r="H260" s="3" t="s">
        <v>65</v>
      </c>
      <c r="I260" s="3">
        <v>219.08</v>
      </c>
      <c r="J260" s="3">
        <v>10</v>
      </c>
      <c r="K260" s="3">
        <v>20.716200000000001</v>
      </c>
    </row>
    <row r="261" spans="1:11" ht="15.6" x14ac:dyDescent="0.3">
      <c r="A261" s="7">
        <v>41968</v>
      </c>
      <c r="B261" s="8">
        <f>YEAR(A261)</f>
        <v>2014</v>
      </c>
      <c r="C261" s="8">
        <f>MONTH(A261)</f>
        <v>11</v>
      </c>
      <c r="D261" s="3" t="s">
        <v>9</v>
      </c>
      <c r="E261" s="3" t="s">
        <v>21</v>
      </c>
      <c r="F261" s="3" t="s">
        <v>30</v>
      </c>
      <c r="G261" s="3" t="s">
        <v>37</v>
      </c>
      <c r="H261" s="3" t="s">
        <v>64</v>
      </c>
      <c r="I261" s="3">
        <v>330.99</v>
      </c>
      <c r="J261" s="3">
        <v>9</v>
      </c>
      <c r="K261" s="3">
        <v>-95.817800000000005</v>
      </c>
    </row>
    <row r="262" spans="1:11" ht="15.6" x14ac:dyDescent="0.3">
      <c r="A262" s="7">
        <v>41968</v>
      </c>
      <c r="B262" s="8">
        <f>YEAR(A262)</f>
        <v>2014</v>
      </c>
      <c r="C262" s="8">
        <f>MONTH(A262)</f>
        <v>11</v>
      </c>
      <c r="D262" s="3" t="s">
        <v>10</v>
      </c>
      <c r="E262" s="3" t="s">
        <v>24</v>
      </c>
      <c r="F262" s="3" t="s">
        <v>31</v>
      </c>
      <c r="G262" s="3" t="s">
        <v>36</v>
      </c>
      <c r="H262" s="3" t="s">
        <v>50</v>
      </c>
      <c r="I262" s="3">
        <v>52.09</v>
      </c>
      <c r="J262" s="3">
        <v>8</v>
      </c>
      <c r="K262" s="3">
        <v>14.7294</v>
      </c>
    </row>
    <row r="263" spans="1:11" ht="15.6" x14ac:dyDescent="0.3">
      <c r="A263" s="7">
        <v>41969</v>
      </c>
      <c r="B263" s="8">
        <f>YEAR(A263)</f>
        <v>2014</v>
      </c>
      <c r="C263" s="8">
        <f>MONTH(A263)</f>
        <v>11</v>
      </c>
      <c r="D263" s="3" t="s">
        <v>15</v>
      </c>
      <c r="E263" s="3" t="s">
        <v>24</v>
      </c>
      <c r="F263" s="3" t="s">
        <v>31</v>
      </c>
      <c r="G263" s="3" t="s">
        <v>38</v>
      </c>
      <c r="H263" s="3" t="s">
        <v>63</v>
      </c>
      <c r="I263" s="3">
        <v>224.87</v>
      </c>
      <c r="J263" s="3">
        <v>10</v>
      </c>
      <c r="K263" s="3">
        <v>50.834400000000002</v>
      </c>
    </row>
    <row r="264" spans="1:11" ht="15.6" x14ac:dyDescent="0.3">
      <c r="A264" s="7">
        <v>41972</v>
      </c>
      <c r="B264" s="8">
        <f>YEAR(A264)</f>
        <v>2014</v>
      </c>
      <c r="C264" s="8">
        <f>MONTH(A264)</f>
        <v>11</v>
      </c>
      <c r="D264" s="3" t="s">
        <v>13</v>
      </c>
      <c r="E264" s="3" t="s">
        <v>26</v>
      </c>
      <c r="F264" s="3" t="s">
        <v>29</v>
      </c>
      <c r="G264" s="3" t="s">
        <v>41</v>
      </c>
      <c r="H264" s="3" t="s">
        <v>57</v>
      </c>
      <c r="I264" s="3">
        <v>1171.57</v>
      </c>
      <c r="J264" s="3">
        <v>3</v>
      </c>
      <c r="K264" s="3">
        <v>305.8526</v>
      </c>
    </row>
    <row r="265" spans="1:11" ht="15.6" x14ac:dyDescent="0.3">
      <c r="A265" s="7">
        <v>41977</v>
      </c>
      <c r="B265" s="8">
        <f>YEAR(A265)</f>
        <v>2014</v>
      </c>
      <c r="C265" s="8">
        <f>MONTH(A265)</f>
        <v>12</v>
      </c>
      <c r="D265" s="3" t="s">
        <v>17</v>
      </c>
      <c r="E265" s="3" t="s">
        <v>28</v>
      </c>
      <c r="F265" s="3" t="s">
        <v>29</v>
      </c>
      <c r="G265" s="3" t="s">
        <v>41</v>
      </c>
      <c r="H265" s="3" t="s">
        <v>65</v>
      </c>
      <c r="I265" s="3">
        <v>730.74</v>
      </c>
      <c r="J265" s="3">
        <v>7</v>
      </c>
      <c r="K265" s="3">
        <v>-206.19450000000001</v>
      </c>
    </row>
    <row r="266" spans="1:11" ht="15.6" x14ac:dyDescent="0.3">
      <c r="A266" s="7">
        <v>41978</v>
      </c>
      <c r="B266" s="8">
        <f>YEAR(A266)</f>
        <v>2014</v>
      </c>
      <c r="C266" s="8">
        <f>MONTH(A266)</f>
        <v>12</v>
      </c>
      <c r="D266" s="3" t="s">
        <v>10</v>
      </c>
      <c r="E266" s="3" t="s">
        <v>25</v>
      </c>
      <c r="F266" s="3" t="s">
        <v>30</v>
      </c>
      <c r="G266" s="3" t="s">
        <v>33</v>
      </c>
      <c r="H266" s="3" t="s">
        <v>60</v>
      </c>
      <c r="I266" s="3">
        <v>321.74</v>
      </c>
      <c r="J266" s="3">
        <v>10</v>
      </c>
      <c r="K266" s="3">
        <v>-26.590699999999998</v>
      </c>
    </row>
    <row r="267" spans="1:11" ht="15.6" x14ac:dyDescent="0.3">
      <c r="A267" s="7">
        <v>41978</v>
      </c>
      <c r="B267" s="8">
        <f>YEAR(A267)</f>
        <v>2014</v>
      </c>
      <c r="C267" s="8">
        <f>MONTH(A267)</f>
        <v>12</v>
      </c>
      <c r="D267" s="3" t="s">
        <v>13</v>
      </c>
      <c r="E267" s="3" t="s">
        <v>27</v>
      </c>
      <c r="F267" s="3" t="s">
        <v>29</v>
      </c>
      <c r="G267" s="3" t="s">
        <v>40</v>
      </c>
      <c r="H267" s="3" t="s">
        <v>56</v>
      </c>
      <c r="I267" s="3">
        <v>1009.4</v>
      </c>
      <c r="J267" s="3">
        <v>3</v>
      </c>
      <c r="K267" s="3">
        <v>338.69560000000001</v>
      </c>
    </row>
    <row r="268" spans="1:11" ht="15.6" x14ac:dyDescent="0.3">
      <c r="A268" s="7">
        <v>41980</v>
      </c>
      <c r="B268" s="8">
        <f>YEAR(A268)</f>
        <v>2014</v>
      </c>
      <c r="C268" s="8">
        <f>MONTH(A268)</f>
        <v>12</v>
      </c>
      <c r="D268" s="3" t="s">
        <v>10</v>
      </c>
      <c r="E268" s="3" t="s">
        <v>19</v>
      </c>
      <c r="F268" s="3" t="s">
        <v>29</v>
      </c>
      <c r="G268" s="3" t="s">
        <v>41</v>
      </c>
      <c r="H268" s="3" t="s">
        <v>57</v>
      </c>
      <c r="I268" s="3">
        <v>313.62</v>
      </c>
      <c r="J268" s="3">
        <v>3</v>
      </c>
      <c r="K268" s="3">
        <v>-3.9264000000000001</v>
      </c>
    </row>
    <row r="269" spans="1:11" ht="15.6" x14ac:dyDescent="0.3">
      <c r="A269" s="7">
        <v>41980</v>
      </c>
      <c r="B269" s="8">
        <f>YEAR(A269)</f>
        <v>2014</v>
      </c>
      <c r="C269" s="8">
        <f>MONTH(A269)</f>
        <v>12</v>
      </c>
      <c r="D269" s="3" t="s">
        <v>11</v>
      </c>
      <c r="E269" s="3" t="s">
        <v>25</v>
      </c>
      <c r="F269" s="3" t="s">
        <v>31</v>
      </c>
      <c r="G269" s="3" t="s">
        <v>34</v>
      </c>
      <c r="H269" s="3" t="s">
        <v>47</v>
      </c>
      <c r="I269" s="3">
        <v>744.26</v>
      </c>
      <c r="J269" s="3">
        <v>3</v>
      </c>
      <c r="K269" s="3">
        <v>99.626000000000005</v>
      </c>
    </row>
    <row r="270" spans="1:11" ht="15.6" x14ac:dyDescent="0.3">
      <c r="A270" s="7">
        <v>41982</v>
      </c>
      <c r="B270" s="8">
        <f>YEAR(A270)</f>
        <v>2014</v>
      </c>
      <c r="C270" s="8">
        <f>MONTH(A270)</f>
        <v>12</v>
      </c>
      <c r="D270" s="3" t="s">
        <v>15</v>
      </c>
      <c r="E270" s="3" t="s">
        <v>26</v>
      </c>
      <c r="F270" s="3" t="s">
        <v>29</v>
      </c>
      <c r="G270" s="3" t="s">
        <v>32</v>
      </c>
      <c r="H270" s="3" t="s">
        <v>52</v>
      </c>
      <c r="I270" s="3">
        <v>224.74</v>
      </c>
      <c r="J270" s="3">
        <v>1</v>
      </c>
      <c r="K270" s="3">
        <v>-68.819900000000004</v>
      </c>
    </row>
    <row r="271" spans="1:11" ht="15.6" x14ac:dyDescent="0.3">
      <c r="A271" s="7">
        <v>41984</v>
      </c>
      <c r="B271" s="8">
        <f>YEAR(A271)</f>
        <v>2014</v>
      </c>
      <c r="C271" s="8">
        <f>MONTH(A271)</f>
        <v>12</v>
      </c>
      <c r="D271" s="3" t="s">
        <v>15</v>
      </c>
      <c r="E271" s="3" t="s">
        <v>20</v>
      </c>
      <c r="F271" s="3" t="s">
        <v>30</v>
      </c>
      <c r="G271" s="3" t="s">
        <v>33</v>
      </c>
      <c r="H271" s="3" t="s">
        <v>45</v>
      </c>
      <c r="I271" s="3">
        <v>1109.3399999999999</v>
      </c>
      <c r="J271" s="3">
        <v>7</v>
      </c>
      <c r="K271" s="3">
        <v>239.91040000000001</v>
      </c>
    </row>
    <row r="272" spans="1:11" ht="15.6" x14ac:dyDescent="0.3">
      <c r="A272" s="7">
        <v>41985</v>
      </c>
      <c r="B272" s="8">
        <f>YEAR(A272)</f>
        <v>2014</v>
      </c>
      <c r="C272" s="8">
        <f>MONTH(A272)</f>
        <v>12</v>
      </c>
      <c r="D272" s="3" t="s">
        <v>11</v>
      </c>
      <c r="E272" s="3" t="s">
        <v>19</v>
      </c>
      <c r="F272" s="3" t="s">
        <v>31</v>
      </c>
      <c r="G272" s="3" t="s">
        <v>34</v>
      </c>
      <c r="H272" s="3" t="s">
        <v>46</v>
      </c>
      <c r="I272" s="3">
        <v>693.65</v>
      </c>
      <c r="J272" s="3">
        <v>3</v>
      </c>
      <c r="K272" s="3">
        <v>-22.7636</v>
      </c>
    </row>
    <row r="273" spans="1:11" ht="15.6" x14ac:dyDescent="0.3">
      <c r="A273" s="7">
        <v>41987</v>
      </c>
      <c r="B273" s="8">
        <f>YEAR(A273)</f>
        <v>2014</v>
      </c>
      <c r="C273" s="8">
        <f>MONTH(A273)</f>
        <v>12</v>
      </c>
      <c r="D273" s="3" t="s">
        <v>18</v>
      </c>
      <c r="E273" s="3" t="s">
        <v>24</v>
      </c>
      <c r="F273" s="3" t="s">
        <v>29</v>
      </c>
      <c r="G273" s="3" t="s">
        <v>32</v>
      </c>
      <c r="H273" s="3" t="s">
        <v>48</v>
      </c>
      <c r="I273" s="3">
        <v>792.33</v>
      </c>
      <c r="J273" s="3">
        <v>5</v>
      </c>
      <c r="K273" s="3">
        <v>-10.6259</v>
      </c>
    </row>
    <row r="274" spans="1:11" ht="15.6" x14ac:dyDescent="0.3">
      <c r="A274" s="7">
        <v>41987</v>
      </c>
      <c r="B274" s="8">
        <f>YEAR(A274)</f>
        <v>2014</v>
      </c>
      <c r="C274" s="8">
        <f>MONTH(A274)</f>
        <v>12</v>
      </c>
      <c r="D274" s="3" t="s">
        <v>10</v>
      </c>
      <c r="E274" s="3" t="s">
        <v>19</v>
      </c>
      <c r="F274" s="3" t="s">
        <v>29</v>
      </c>
      <c r="G274" s="3" t="s">
        <v>41</v>
      </c>
      <c r="H274" s="3" t="s">
        <v>65</v>
      </c>
      <c r="I274" s="3">
        <v>606.98</v>
      </c>
      <c r="J274" s="3">
        <v>6</v>
      </c>
      <c r="K274" s="3">
        <v>156.85730000000001</v>
      </c>
    </row>
    <row r="275" spans="1:11" ht="15.6" x14ac:dyDescent="0.3">
      <c r="A275" s="7">
        <v>41988</v>
      </c>
      <c r="B275" s="8">
        <f>YEAR(A275)</f>
        <v>2014</v>
      </c>
      <c r="C275" s="8">
        <f>MONTH(A275)</f>
        <v>12</v>
      </c>
      <c r="D275" s="3" t="s">
        <v>12</v>
      </c>
      <c r="E275" s="3" t="s">
        <v>27</v>
      </c>
      <c r="F275" s="3" t="s">
        <v>30</v>
      </c>
      <c r="G275" s="3" t="s">
        <v>37</v>
      </c>
      <c r="H275" s="3" t="s">
        <v>64</v>
      </c>
      <c r="I275" s="3">
        <v>695.86</v>
      </c>
      <c r="J275" s="3">
        <v>9</v>
      </c>
      <c r="K275" s="3">
        <v>167.8783</v>
      </c>
    </row>
    <row r="276" spans="1:11" ht="15.6" x14ac:dyDescent="0.3">
      <c r="A276" s="7">
        <v>41990</v>
      </c>
      <c r="B276" s="8">
        <f>YEAR(A276)</f>
        <v>2014</v>
      </c>
      <c r="C276" s="8">
        <f>MONTH(A276)</f>
        <v>12</v>
      </c>
      <c r="D276" s="3" t="s">
        <v>9</v>
      </c>
      <c r="E276" s="3" t="s">
        <v>21</v>
      </c>
      <c r="F276" s="3" t="s">
        <v>29</v>
      </c>
      <c r="G276" s="3" t="s">
        <v>41</v>
      </c>
      <c r="H276" s="3" t="s">
        <v>57</v>
      </c>
      <c r="I276" s="3">
        <v>792.19</v>
      </c>
      <c r="J276" s="3">
        <v>10</v>
      </c>
      <c r="K276" s="3">
        <v>-116.28189999999999</v>
      </c>
    </row>
    <row r="277" spans="1:11" ht="15.6" x14ac:dyDescent="0.3">
      <c r="A277" s="7">
        <v>41992</v>
      </c>
      <c r="B277" s="8">
        <f>YEAR(A277)</f>
        <v>2014</v>
      </c>
      <c r="C277" s="8">
        <f>MONTH(A277)</f>
        <v>12</v>
      </c>
      <c r="D277" s="3" t="s">
        <v>18</v>
      </c>
      <c r="E277" s="3" t="s">
        <v>26</v>
      </c>
      <c r="F277" s="3" t="s">
        <v>29</v>
      </c>
      <c r="G277" s="3" t="s">
        <v>32</v>
      </c>
      <c r="H277" s="3" t="s">
        <v>44</v>
      </c>
      <c r="I277" s="3">
        <v>334.12</v>
      </c>
      <c r="J277" s="3">
        <v>3</v>
      </c>
      <c r="K277" s="3">
        <v>21.277899999999999</v>
      </c>
    </row>
    <row r="278" spans="1:11" ht="15.6" x14ac:dyDescent="0.3">
      <c r="A278" s="7">
        <v>41992</v>
      </c>
      <c r="B278" s="8">
        <f>YEAR(A278)</f>
        <v>2014</v>
      </c>
      <c r="C278" s="8">
        <f>MONTH(A278)</f>
        <v>12</v>
      </c>
      <c r="D278" s="3" t="s">
        <v>17</v>
      </c>
      <c r="E278" s="3" t="s">
        <v>19</v>
      </c>
      <c r="F278" s="3" t="s">
        <v>30</v>
      </c>
      <c r="G278" s="3" t="s">
        <v>35</v>
      </c>
      <c r="H278" s="3" t="s">
        <v>49</v>
      </c>
      <c r="I278" s="3">
        <v>761.03</v>
      </c>
      <c r="J278" s="3">
        <v>5</v>
      </c>
      <c r="K278" s="3">
        <v>164.04339999999999</v>
      </c>
    </row>
    <row r="279" spans="1:11" ht="15.6" x14ac:dyDescent="0.3">
      <c r="A279" s="7">
        <v>41992</v>
      </c>
      <c r="B279" s="8">
        <f>YEAR(A279)</f>
        <v>2014</v>
      </c>
      <c r="C279" s="8">
        <f>MONTH(A279)</f>
        <v>12</v>
      </c>
      <c r="D279" s="3" t="s">
        <v>15</v>
      </c>
      <c r="E279" s="3" t="s">
        <v>25</v>
      </c>
      <c r="F279" s="3" t="s">
        <v>31</v>
      </c>
      <c r="G279" s="3" t="s">
        <v>38</v>
      </c>
      <c r="H279" s="3" t="s">
        <v>53</v>
      </c>
      <c r="I279" s="3">
        <v>853.32</v>
      </c>
      <c r="J279" s="3">
        <v>1</v>
      </c>
      <c r="K279" s="3">
        <v>135.1191</v>
      </c>
    </row>
    <row r="280" spans="1:11" ht="15.6" x14ac:dyDescent="0.3">
      <c r="A280" s="7">
        <v>41996</v>
      </c>
      <c r="B280" s="8">
        <f>YEAR(A280)</f>
        <v>2014</v>
      </c>
      <c r="C280" s="8">
        <f>MONTH(A280)</f>
        <v>12</v>
      </c>
      <c r="D280" s="3" t="s">
        <v>14</v>
      </c>
      <c r="E280" s="3" t="s">
        <v>22</v>
      </c>
      <c r="F280" s="3" t="s">
        <v>29</v>
      </c>
      <c r="G280" s="3" t="s">
        <v>32</v>
      </c>
      <c r="H280" s="3" t="s">
        <v>48</v>
      </c>
      <c r="I280" s="3">
        <v>740.54</v>
      </c>
      <c r="J280" s="3">
        <v>5</v>
      </c>
      <c r="K280" s="3">
        <v>-70.6798</v>
      </c>
    </row>
    <row r="281" spans="1:11" ht="15.6" x14ac:dyDescent="0.3">
      <c r="A281" s="7">
        <v>41996</v>
      </c>
      <c r="B281" s="8">
        <f>YEAR(A281)</f>
        <v>2014</v>
      </c>
      <c r="C281" s="8">
        <f>MONTH(A281)</f>
        <v>12</v>
      </c>
      <c r="D281" s="3" t="s">
        <v>15</v>
      </c>
      <c r="E281" s="3" t="s">
        <v>24</v>
      </c>
      <c r="F281" s="3" t="s">
        <v>29</v>
      </c>
      <c r="G281" s="3" t="s">
        <v>32</v>
      </c>
      <c r="H281" s="3" t="s">
        <v>44</v>
      </c>
      <c r="I281" s="3">
        <v>322.11</v>
      </c>
      <c r="J281" s="3">
        <v>3</v>
      </c>
      <c r="K281" s="3">
        <v>50.342100000000002</v>
      </c>
    </row>
    <row r="282" spans="1:11" ht="15.6" x14ac:dyDescent="0.3">
      <c r="A282" s="7">
        <v>41996</v>
      </c>
      <c r="B282" s="8">
        <f>YEAR(A282)</f>
        <v>2014</v>
      </c>
      <c r="C282" s="8">
        <f>MONTH(A282)</f>
        <v>12</v>
      </c>
      <c r="D282" s="3" t="s">
        <v>13</v>
      </c>
      <c r="E282" s="3" t="s">
        <v>21</v>
      </c>
      <c r="F282" s="3" t="s">
        <v>30</v>
      </c>
      <c r="G282" s="3" t="s">
        <v>37</v>
      </c>
      <c r="H282" s="3" t="s">
        <v>51</v>
      </c>
      <c r="I282" s="3">
        <v>42.14</v>
      </c>
      <c r="J282" s="3">
        <v>7</v>
      </c>
      <c r="K282" s="3">
        <v>10.153700000000001</v>
      </c>
    </row>
    <row r="283" spans="1:11" ht="15.6" x14ac:dyDescent="0.3">
      <c r="A283" s="7">
        <v>41997</v>
      </c>
      <c r="B283" s="8">
        <f>YEAR(A283)</f>
        <v>2014</v>
      </c>
      <c r="C283" s="8">
        <f>MONTH(A283)</f>
        <v>12</v>
      </c>
      <c r="D283" s="3" t="s">
        <v>16</v>
      </c>
      <c r="E283" s="3" t="s">
        <v>23</v>
      </c>
      <c r="F283" s="3" t="s">
        <v>31</v>
      </c>
      <c r="G283" s="3" t="s">
        <v>39</v>
      </c>
      <c r="H283" s="3" t="s">
        <v>54</v>
      </c>
      <c r="I283" s="3">
        <v>1049.5999999999999</v>
      </c>
      <c r="J283" s="3">
        <v>5</v>
      </c>
      <c r="K283" s="3">
        <v>-136.279</v>
      </c>
    </row>
    <row r="284" spans="1:11" ht="15.6" x14ac:dyDescent="0.3">
      <c r="A284" s="7">
        <v>41997</v>
      </c>
      <c r="B284" s="8">
        <f>YEAR(A284)</f>
        <v>2014</v>
      </c>
      <c r="C284" s="8">
        <f>MONTH(A284)</f>
        <v>12</v>
      </c>
      <c r="D284" s="3" t="s">
        <v>10</v>
      </c>
      <c r="E284" s="3" t="s">
        <v>19</v>
      </c>
      <c r="F284" s="3" t="s">
        <v>29</v>
      </c>
      <c r="G284" s="3" t="s">
        <v>32</v>
      </c>
      <c r="H284" s="3" t="s">
        <v>52</v>
      </c>
      <c r="I284" s="3">
        <v>551.35</v>
      </c>
      <c r="J284" s="3">
        <v>2</v>
      </c>
      <c r="K284" s="3">
        <v>68.192899999999995</v>
      </c>
    </row>
    <row r="285" spans="1:11" ht="15.6" x14ac:dyDescent="0.3">
      <c r="A285" s="7">
        <v>41997</v>
      </c>
      <c r="B285" s="8">
        <f>YEAR(A285)</f>
        <v>2014</v>
      </c>
      <c r="C285" s="8">
        <f>MONTH(A285)</f>
        <v>12</v>
      </c>
      <c r="D285" s="3" t="s">
        <v>11</v>
      </c>
      <c r="E285" s="3" t="s">
        <v>27</v>
      </c>
      <c r="F285" s="3" t="s">
        <v>31</v>
      </c>
      <c r="G285" s="3" t="s">
        <v>34</v>
      </c>
      <c r="H285" s="3" t="s">
        <v>46</v>
      </c>
      <c r="I285" s="3">
        <v>994.4</v>
      </c>
      <c r="J285" s="3">
        <v>9</v>
      </c>
      <c r="K285" s="3">
        <v>-373.91680000000002</v>
      </c>
    </row>
    <row r="286" spans="1:11" ht="15.6" x14ac:dyDescent="0.3">
      <c r="A286" s="7">
        <v>41998</v>
      </c>
      <c r="B286" s="8">
        <f>YEAR(A286)</f>
        <v>2014</v>
      </c>
      <c r="C286" s="8">
        <f>MONTH(A286)</f>
        <v>12</v>
      </c>
      <c r="D286" s="3" t="s">
        <v>15</v>
      </c>
      <c r="E286" s="3" t="s">
        <v>25</v>
      </c>
      <c r="F286" s="3" t="s">
        <v>30</v>
      </c>
      <c r="G286" s="3" t="s">
        <v>37</v>
      </c>
      <c r="H286" s="3" t="s">
        <v>51</v>
      </c>
      <c r="I286" s="3">
        <v>997.31</v>
      </c>
      <c r="J286" s="3">
        <v>8</v>
      </c>
      <c r="K286" s="3">
        <v>334.71159999999998</v>
      </c>
    </row>
    <row r="287" spans="1:11" ht="15.6" x14ac:dyDescent="0.3">
      <c r="A287" s="7">
        <v>42000</v>
      </c>
      <c r="B287" s="8">
        <f>YEAR(A287)</f>
        <v>2014</v>
      </c>
      <c r="C287" s="8">
        <f>MONTH(A287)</f>
        <v>12</v>
      </c>
      <c r="D287" s="3" t="s">
        <v>14</v>
      </c>
      <c r="E287" s="3" t="s">
        <v>26</v>
      </c>
      <c r="F287" s="3" t="s">
        <v>31</v>
      </c>
      <c r="G287" s="3" t="s">
        <v>34</v>
      </c>
      <c r="H287" s="3" t="s">
        <v>46</v>
      </c>
      <c r="I287" s="3">
        <v>287.68</v>
      </c>
      <c r="J287" s="3">
        <v>6</v>
      </c>
      <c r="K287" s="3">
        <v>58.875900000000001</v>
      </c>
    </row>
    <row r="288" spans="1:11" ht="15.6" x14ac:dyDescent="0.3">
      <c r="A288" s="7">
        <v>42001</v>
      </c>
      <c r="B288" s="8">
        <f>YEAR(A288)</f>
        <v>2014</v>
      </c>
      <c r="C288" s="8">
        <f>MONTH(A288)</f>
        <v>12</v>
      </c>
      <c r="D288" s="3" t="s">
        <v>14</v>
      </c>
      <c r="E288" s="3" t="s">
        <v>20</v>
      </c>
      <c r="F288" s="3" t="s">
        <v>30</v>
      </c>
      <c r="G288" s="3" t="s">
        <v>33</v>
      </c>
      <c r="H288" s="3" t="s">
        <v>55</v>
      </c>
      <c r="I288" s="3">
        <v>195.91</v>
      </c>
      <c r="J288" s="3">
        <v>1</v>
      </c>
      <c r="K288" s="3">
        <v>-70.425600000000003</v>
      </c>
    </row>
    <row r="289" spans="1:11" ht="15.6" x14ac:dyDescent="0.3">
      <c r="A289" s="7">
        <v>42004</v>
      </c>
      <c r="B289" s="8">
        <f>YEAR(A289)</f>
        <v>2014</v>
      </c>
      <c r="C289" s="8">
        <f>MONTH(A289)</f>
        <v>12</v>
      </c>
      <c r="D289" s="3" t="s">
        <v>15</v>
      </c>
      <c r="E289" s="3" t="s">
        <v>19</v>
      </c>
      <c r="F289" s="3" t="s">
        <v>30</v>
      </c>
      <c r="G289" s="3" t="s">
        <v>42</v>
      </c>
      <c r="H289" s="3" t="s">
        <v>69</v>
      </c>
      <c r="I289" s="3">
        <v>954.09</v>
      </c>
      <c r="J289" s="3">
        <v>9</v>
      </c>
      <c r="K289" s="3">
        <v>-331.22989999999999</v>
      </c>
    </row>
    <row r="290" spans="1:11" ht="15.6" x14ac:dyDescent="0.3">
      <c r="A290" s="7">
        <v>42005</v>
      </c>
      <c r="B290" s="8">
        <f>YEAR(A290)</f>
        <v>2015</v>
      </c>
      <c r="C290" s="8">
        <f>MONTH(A290)</f>
        <v>1</v>
      </c>
      <c r="D290" s="3" t="s">
        <v>10</v>
      </c>
      <c r="E290" s="3" t="s">
        <v>27</v>
      </c>
      <c r="F290" s="3" t="s">
        <v>30</v>
      </c>
      <c r="G290" s="3" t="s">
        <v>42</v>
      </c>
      <c r="H290" s="3" t="s">
        <v>67</v>
      </c>
      <c r="I290" s="3">
        <v>698.8</v>
      </c>
      <c r="J290" s="3">
        <v>5</v>
      </c>
      <c r="K290" s="3">
        <v>-259.46940000000001</v>
      </c>
    </row>
    <row r="291" spans="1:11" ht="15.6" x14ac:dyDescent="0.3">
      <c r="A291" s="7">
        <v>42005</v>
      </c>
      <c r="B291" s="8">
        <f>YEAR(A291)</f>
        <v>2015</v>
      </c>
      <c r="C291" s="8">
        <f>MONTH(A291)</f>
        <v>1</v>
      </c>
      <c r="D291" s="3" t="s">
        <v>16</v>
      </c>
      <c r="E291" s="3" t="s">
        <v>25</v>
      </c>
      <c r="F291" s="3" t="s">
        <v>31</v>
      </c>
      <c r="G291" s="3" t="s">
        <v>38</v>
      </c>
      <c r="H291" s="3" t="s">
        <v>63</v>
      </c>
      <c r="I291" s="3">
        <v>239.21</v>
      </c>
      <c r="J291" s="3">
        <v>3</v>
      </c>
      <c r="K291" s="3">
        <v>55.535200000000003</v>
      </c>
    </row>
    <row r="292" spans="1:11" ht="15.6" x14ac:dyDescent="0.3">
      <c r="A292" s="7">
        <v>42008</v>
      </c>
      <c r="B292" s="8">
        <f>YEAR(A292)</f>
        <v>2015</v>
      </c>
      <c r="C292" s="8">
        <f>MONTH(A292)</f>
        <v>1</v>
      </c>
      <c r="D292" s="3" t="s">
        <v>13</v>
      </c>
      <c r="E292" s="3" t="s">
        <v>24</v>
      </c>
      <c r="F292" s="3" t="s">
        <v>30</v>
      </c>
      <c r="G292" s="3" t="s">
        <v>42</v>
      </c>
      <c r="H292" s="3" t="s">
        <v>58</v>
      </c>
      <c r="I292" s="3">
        <v>862.05</v>
      </c>
      <c r="J292" s="3">
        <v>10</v>
      </c>
      <c r="K292" s="3">
        <v>269.58330000000001</v>
      </c>
    </row>
    <row r="293" spans="1:11" ht="15.6" x14ac:dyDescent="0.3">
      <c r="A293" s="7">
        <v>42015</v>
      </c>
      <c r="B293" s="8">
        <f>YEAR(A293)</f>
        <v>2015</v>
      </c>
      <c r="C293" s="8">
        <f>MONTH(A293)</f>
        <v>1</v>
      </c>
      <c r="D293" s="3" t="s">
        <v>16</v>
      </c>
      <c r="E293" s="3" t="s">
        <v>21</v>
      </c>
      <c r="F293" s="3" t="s">
        <v>29</v>
      </c>
      <c r="G293" s="3" t="s">
        <v>41</v>
      </c>
      <c r="H293" s="3" t="s">
        <v>57</v>
      </c>
      <c r="I293" s="3">
        <v>918.8</v>
      </c>
      <c r="J293" s="3">
        <v>10</v>
      </c>
      <c r="K293" s="3">
        <v>151.1163</v>
      </c>
    </row>
    <row r="294" spans="1:11" ht="15.6" x14ac:dyDescent="0.3">
      <c r="A294" s="7">
        <v>42016</v>
      </c>
      <c r="B294" s="8">
        <f>YEAR(A294)</f>
        <v>2015</v>
      </c>
      <c r="C294" s="8">
        <f>MONTH(A294)</f>
        <v>1</v>
      </c>
      <c r="D294" s="3" t="s">
        <v>10</v>
      </c>
      <c r="E294" s="3" t="s">
        <v>27</v>
      </c>
      <c r="F294" s="3" t="s">
        <v>31</v>
      </c>
      <c r="G294" s="3" t="s">
        <v>39</v>
      </c>
      <c r="H294" s="3" t="s">
        <v>54</v>
      </c>
      <c r="I294" s="3">
        <v>758.04</v>
      </c>
      <c r="J294" s="3">
        <v>3</v>
      </c>
      <c r="K294" s="3">
        <v>-301.46730000000002</v>
      </c>
    </row>
    <row r="295" spans="1:11" ht="15.6" x14ac:dyDescent="0.3">
      <c r="A295" s="7">
        <v>42017</v>
      </c>
      <c r="B295" s="8">
        <f>YEAR(A295)</f>
        <v>2015</v>
      </c>
      <c r="C295" s="8">
        <f>MONTH(A295)</f>
        <v>1</v>
      </c>
      <c r="D295" s="3" t="s">
        <v>13</v>
      </c>
      <c r="E295" s="3" t="s">
        <v>28</v>
      </c>
      <c r="F295" s="3" t="s">
        <v>30</v>
      </c>
      <c r="G295" s="3" t="s">
        <v>33</v>
      </c>
      <c r="H295" s="3" t="s">
        <v>60</v>
      </c>
      <c r="I295" s="3">
        <v>227.73</v>
      </c>
      <c r="J295" s="3">
        <v>7</v>
      </c>
      <c r="K295" s="3">
        <v>-23.5275</v>
      </c>
    </row>
    <row r="296" spans="1:11" ht="15.6" x14ac:dyDescent="0.3">
      <c r="A296" s="7">
        <v>42017</v>
      </c>
      <c r="B296" s="8">
        <f>YEAR(A296)</f>
        <v>2015</v>
      </c>
      <c r="C296" s="8">
        <f>MONTH(A296)</f>
        <v>1</v>
      </c>
      <c r="D296" s="3" t="s">
        <v>17</v>
      </c>
      <c r="E296" s="3" t="s">
        <v>25</v>
      </c>
      <c r="F296" s="3" t="s">
        <v>31</v>
      </c>
      <c r="G296" s="3" t="s">
        <v>39</v>
      </c>
      <c r="H296" s="3" t="s">
        <v>54</v>
      </c>
      <c r="I296" s="3">
        <v>384.53</v>
      </c>
      <c r="J296" s="3">
        <v>3</v>
      </c>
      <c r="K296" s="3">
        <v>55.875900000000001</v>
      </c>
    </row>
    <row r="297" spans="1:11" ht="15.6" x14ac:dyDescent="0.3">
      <c r="A297" s="7">
        <v>42020</v>
      </c>
      <c r="B297" s="8">
        <f>YEAR(A297)</f>
        <v>2015</v>
      </c>
      <c r="C297" s="8">
        <f>MONTH(A297)</f>
        <v>1</v>
      </c>
      <c r="D297" s="3" t="s">
        <v>16</v>
      </c>
      <c r="E297" s="3" t="s">
        <v>27</v>
      </c>
      <c r="F297" s="3" t="s">
        <v>31</v>
      </c>
      <c r="G297" s="3" t="s">
        <v>36</v>
      </c>
      <c r="H297" s="3" t="s">
        <v>50</v>
      </c>
      <c r="I297" s="3">
        <v>295.57</v>
      </c>
      <c r="J297" s="3">
        <v>1</v>
      </c>
      <c r="K297" s="3">
        <v>-104.8185</v>
      </c>
    </row>
    <row r="298" spans="1:11" ht="15.6" x14ac:dyDescent="0.3">
      <c r="A298" s="7">
        <v>42021</v>
      </c>
      <c r="B298" s="8">
        <f>YEAR(A298)</f>
        <v>2015</v>
      </c>
      <c r="C298" s="8">
        <f>MONTH(A298)</f>
        <v>1</v>
      </c>
      <c r="D298" s="3" t="s">
        <v>15</v>
      </c>
      <c r="E298" s="3" t="s">
        <v>23</v>
      </c>
      <c r="F298" s="3" t="s">
        <v>30</v>
      </c>
      <c r="G298" s="3" t="s">
        <v>42</v>
      </c>
      <c r="H298" s="3" t="s">
        <v>69</v>
      </c>
      <c r="I298" s="3">
        <v>601.36</v>
      </c>
      <c r="J298" s="3">
        <v>7</v>
      </c>
      <c r="K298" s="3">
        <v>171.4819</v>
      </c>
    </row>
    <row r="299" spans="1:11" ht="15.6" x14ac:dyDescent="0.3">
      <c r="A299" s="7">
        <v>42021</v>
      </c>
      <c r="B299" s="8">
        <f>YEAR(A299)</f>
        <v>2015</v>
      </c>
      <c r="C299" s="8">
        <f>MONTH(A299)</f>
        <v>1</v>
      </c>
      <c r="D299" s="3" t="s">
        <v>17</v>
      </c>
      <c r="E299" s="3" t="s">
        <v>22</v>
      </c>
      <c r="F299" s="3" t="s">
        <v>30</v>
      </c>
      <c r="G299" s="3" t="s">
        <v>33</v>
      </c>
      <c r="H299" s="3" t="s">
        <v>55</v>
      </c>
      <c r="I299" s="3">
        <v>523.76</v>
      </c>
      <c r="J299" s="3">
        <v>7</v>
      </c>
      <c r="K299" s="3">
        <v>-172.9924</v>
      </c>
    </row>
    <row r="300" spans="1:11" ht="15.6" x14ac:dyDescent="0.3">
      <c r="A300" s="7">
        <v>42022</v>
      </c>
      <c r="B300" s="8">
        <f>YEAR(A300)</f>
        <v>2015</v>
      </c>
      <c r="C300" s="8">
        <f>MONTH(A300)</f>
        <v>1</v>
      </c>
      <c r="D300" s="3" t="s">
        <v>14</v>
      </c>
      <c r="E300" s="3" t="s">
        <v>23</v>
      </c>
      <c r="F300" s="3" t="s">
        <v>31</v>
      </c>
      <c r="G300" s="3" t="s">
        <v>43</v>
      </c>
      <c r="H300" s="3" t="s">
        <v>62</v>
      </c>
      <c r="I300" s="3">
        <v>1155.1600000000001</v>
      </c>
      <c r="J300" s="3">
        <v>9</v>
      </c>
      <c r="K300" s="3">
        <v>-358.65940000000001</v>
      </c>
    </row>
    <row r="301" spans="1:11" ht="15.6" x14ac:dyDescent="0.3">
      <c r="A301" s="7">
        <v>42024</v>
      </c>
      <c r="B301" s="8">
        <f>YEAR(A301)</f>
        <v>2015</v>
      </c>
      <c r="C301" s="8">
        <f>MONTH(A301)</f>
        <v>1</v>
      </c>
      <c r="D301" s="3" t="s">
        <v>11</v>
      </c>
      <c r="E301" s="3" t="s">
        <v>21</v>
      </c>
      <c r="F301" s="3" t="s">
        <v>31</v>
      </c>
      <c r="G301" s="3" t="s">
        <v>36</v>
      </c>
      <c r="H301" s="3" t="s">
        <v>70</v>
      </c>
      <c r="I301" s="3">
        <v>624.54</v>
      </c>
      <c r="J301" s="3">
        <v>10</v>
      </c>
      <c r="K301" s="3">
        <v>104.50579999999999</v>
      </c>
    </row>
    <row r="302" spans="1:11" ht="15.6" x14ac:dyDescent="0.3">
      <c r="A302" s="7">
        <v>42024</v>
      </c>
      <c r="B302" s="8">
        <f>YEAR(A302)</f>
        <v>2015</v>
      </c>
      <c r="C302" s="8">
        <f>MONTH(A302)</f>
        <v>1</v>
      </c>
      <c r="D302" s="3" t="s">
        <v>18</v>
      </c>
      <c r="E302" s="3" t="s">
        <v>28</v>
      </c>
      <c r="F302" s="3" t="s">
        <v>31</v>
      </c>
      <c r="G302" s="3" t="s">
        <v>39</v>
      </c>
      <c r="H302" s="3" t="s">
        <v>71</v>
      </c>
      <c r="I302" s="3">
        <v>517.41</v>
      </c>
      <c r="J302" s="3">
        <v>7</v>
      </c>
      <c r="K302" s="3">
        <v>-125.6331</v>
      </c>
    </row>
    <row r="303" spans="1:11" ht="15.6" x14ac:dyDescent="0.3">
      <c r="A303" s="7">
        <v>42025</v>
      </c>
      <c r="B303" s="8">
        <f>YEAR(A303)</f>
        <v>2015</v>
      </c>
      <c r="C303" s="8">
        <f>MONTH(A303)</f>
        <v>1</v>
      </c>
      <c r="D303" s="3" t="s">
        <v>16</v>
      </c>
      <c r="E303" s="3" t="s">
        <v>23</v>
      </c>
      <c r="F303" s="3" t="s">
        <v>29</v>
      </c>
      <c r="G303" s="3" t="s">
        <v>40</v>
      </c>
      <c r="H303" s="3" t="s">
        <v>56</v>
      </c>
      <c r="I303" s="3">
        <v>184.17</v>
      </c>
      <c r="J303" s="3">
        <v>4</v>
      </c>
      <c r="K303" s="3">
        <v>50.603499999999997</v>
      </c>
    </row>
    <row r="304" spans="1:11" ht="15.6" x14ac:dyDescent="0.3">
      <c r="A304" s="7">
        <v>42025</v>
      </c>
      <c r="B304" s="8">
        <f>YEAR(A304)</f>
        <v>2015</v>
      </c>
      <c r="C304" s="8">
        <f>MONTH(A304)</f>
        <v>1</v>
      </c>
      <c r="D304" s="3" t="s">
        <v>13</v>
      </c>
      <c r="E304" s="3" t="s">
        <v>25</v>
      </c>
      <c r="F304" s="3" t="s">
        <v>31</v>
      </c>
      <c r="G304" s="3" t="s">
        <v>36</v>
      </c>
      <c r="H304" s="3" t="s">
        <v>50</v>
      </c>
      <c r="I304" s="3">
        <v>202.04</v>
      </c>
      <c r="J304" s="3">
        <v>7</v>
      </c>
      <c r="K304" s="3">
        <v>-77.918000000000006</v>
      </c>
    </row>
    <row r="305" spans="1:11" ht="15.6" x14ac:dyDescent="0.3">
      <c r="A305" s="7">
        <v>42026</v>
      </c>
      <c r="B305" s="8">
        <f>YEAR(A305)</f>
        <v>2015</v>
      </c>
      <c r="C305" s="8">
        <f>MONTH(A305)</f>
        <v>1</v>
      </c>
      <c r="D305" s="3" t="s">
        <v>10</v>
      </c>
      <c r="E305" s="3" t="s">
        <v>21</v>
      </c>
      <c r="F305" s="3" t="s">
        <v>31</v>
      </c>
      <c r="G305" s="3" t="s">
        <v>36</v>
      </c>
      <c r="H305" s="3" t="s">
        <v>50</v>
      </c>
      <c r="I305" s="3">
        <v>1177.03</v>
      </c>
      <c r="J305" s="3">
        <v>4</v>
      </c>
      <c r="K305" s="3">
        <v>33.955199999999998</v>
      </c>
    </row>
    <row r="306" spans="1:11" ht="15.6" x14ac:dyDescent="0.3">
      <c r="A306" s="7">
        <v>42029</v>
      </c>
      <c r="B306" s="8">
        <f>YEAR(A306)</f>
        <v>2015</v>
      </c>
      <c r="C306" s="8">
        <f>MONTH(A306)</f>
        <v>1</v>
      </c>
      <c r="D306" s="3" t="s">
        <v>15</v>
      </c>
      <c r="E306" s="3" t="s">
        <v>24</v>
      </c>
      <c r="F306" s="3" t="s">
        <v>29</v>
      </c>
      <c r="G306" s="3" t="s">
        <v>32</v>
      </c>
      <c r="H306" s="3" t="s">
        <v>44</v>
      </c>
      <c r="I306" s="3">
        <v>601.29999999999995</v>
      </c>
      <c r="J306" s="3">
        <v>4</v>
      </c>
      <c r="K306" s="3">
        <v>-134.60339999999999</v>
      </c>
    </row>
    <row r="307" spans="1:11" ht="15.6" x14ac:dyDescent="0.3">
      <c r="A307" s="7">
        <v>42032</v>
      </c>
      <c r="B307" s="8">
        <f>YEAR(A307)</f>
        <v>2015</v>
      </c>
      <c r="C307" s="8">
        <f>MONTH(A307)</f>
        <v>1</v>
      </c>
      <c r="D307" s="3" t="s">
        <v>17</v>
      </c>
      <c r="E307" s="3" t="s">
        <v>24</v>
      </c>
      <c r="F307" s="3" t="s">
        <v>29</v>
      </c>
      <c r="G307" s="3" t="s">
        <v>40</v>
      </c>
      <c r="H307" s="3" t="s">
        <v>56</v>
      </c>
      <c r="I307" s="3">
        <v>1017.96</v>
      </c>
      <c r="J307" s="3">
        <v>1</v>
      </c>
      <c r="K307" s="3">
        <v>350.14109999999999</v>
      </c>
    </row>
    <row r="308" spans="1:11" ht="15.6" x14ac:dyDescent="0.3">
      <c r="A308" s="7">
        <v>42033</v>
      </c>
      <c r="B308" s="8">
        <f>YEAR(A308)</f>
        <v>2015</v>
      </c>
      <c r="C308" s="8">
        <f>MONTH(A308)</f>
        <v>1</v>
      </c>
      <c r="D308" s="3" t="s">
        <v>12</v>
      </c>
      <c r="E308" s="3" t="s">
        <v>20</v>
      </c>
      <c r="F308" s="3" t="s">
        <v>30</v>
      </c>
      <c r="G308" s="3" t="s">
        <v>35</v>
      </c>
      <c r="H308" s="3" t="s">
        <v>49</v>
      </c>
      <c r="I308" s="3">
        <v>745.64</v>
      </c>
      <c r="J308" s="3">
        <v>5</v>
      </c>
      <c r="K308" s="3">
        <v>157.63630000000001</v>
      </c>
    </row>
    <row r="309" spans="1:11" ht="15.6" x14ac:dyDescent="0.3">
      <c r="A309" s="7">
        <v>42033</v>
      </c>
      <c r="B309" s="8">
        <f>YEAR(A309)</f>
        <v>2015</v>
      </c>
      <c r="C309" s="8">
        <f>MONTH(A309)</f>
        <v>1</v>
      </c>
      <c r="D309" s="3" t="s">
        <v>13</v>
      </c>
      <c r="E309" s="3" t="s">
        <v>20</v>
      </c>
      <c r="F309" s="3" t="s">
        <v>29</v>
      </c>
      <c r="G309" s="3" t="s">
        <v>32</v>
      </c>
      <c r="H309" s="3" t="s">
        <v>44</v>
      </c>
      <c r="I309" s="3">
        <v>1075.3599999999999</v>
      </c>
      <c r="J309" s="3">
        <v>5</v>
      </c>
      <c r="K309" s="3">
        <v>228.98509999999999</v>
      </c>
    </row>
    <row r="310" spans="1:11" ht="15.6" x14ac:dyDescent="0.3">
      <c r="A310" s="7">
        <v>42033</v>
      </c>
      <c r="B310" s="8">
        <f>YEAR(A310)</f>
        <v>2015</v>
      </c>
      <c r="C310" s="8">
        <f>MONTH(A310)</f>
        <v>1</v>
      </c>
      <c r="D310" s="3" t="s">
        <v>16</v>
      </c>
      <c r="E310" s="3" t="s">
        <v>27</v>
      </c>
      <c r="F310" s="3" t="s">
        <v>31</v>
      </c>
      <c r="G310" s="3" t="s">
        <v>39</v>
      </c>
      <c r="H310" s="3" t="s">
        <v>54</v>
      </c>
      <c r="I310" s="3">
        <v>145.41999999999999</v>
      </c>
      <c r="J310" s="3">
        <v>9</v>
      </c>
      <c r="K310" s="3">
        <v>48.3658</v>
      </c>
    </row>
    <row r="311" spans="1:11" ht="15.6" x14ac:dyDescent="0.3">
      <c r="A311" s="7">
        <v>42034</v>
      </c>
      <c r="B311" s="8">
        <f>YEAR(A311)</f>
        <v>2015</v>
      </c>
      <c r="C311" s="8">
        <f>MONTH(A311)</f>
        <v>1</v>
      </c>
      <c r="D311" s="3" t="s">
        <v>16</v>
      </c>
      <c r="E311" s="3" t="s">
        <v>21</v>
      </c>
      <c r="F311" s="3" t="s">
        <v>29</v>
      </c>
      <c r="G311" s="3" t="s">
        <v>41</v>
      </c>
      <c r="H311" s="3" t="s">
        <v>57</v>
      </c>
      <c r="I311" s="3">
        <v>1146.43</v>
      </c>
      <c r="J311" s="3">
        <v>9</v>
      </c>
      <c r="K311" s="3">
        <v>37.421399999999998</v>
      </c>
    </row>
    <row r="312" spans="1:11" ht="15.6" x14ac:dyDescent="0.3">
      <c r="A312" s="7">
        <v>42036</v>
      </c>
      <c r="B312" s="8">
        <f>YEAR(A312)</f>
        <v>2015</v>
      </c>
      <c r="C312" s="8">
        <f>MONTH(A312)</f>
        <v>2</v>
      </c>
      <c r="D312" s="3" t="s">
        <v>14</v>
      </c>
      <c r="E312" s="3" t="s">
        <v>20</v>
      </c>
      <c r="F312" s="3" t="s">
        <v>31</v>
      </c>
      <c r="G312" s="3" t="s">
        <v>38</v>
      </c>
      <c r="H312" s="3" t="s">
        <v>63</v>
      </c>
      <c r="I312" s="3">
        <v>384.75</v>
      </c>
      <c r="J312" s="3">
        <v>8</v>
      </c>
      <c r="K312" s="3">
        <v>-59.151600000000002</v>
      </c>
    </row>
    <row r="313" spans="1:11" ht="15.6" x14ac:dyDescent="0.3">
      <c r="A313" s="7">
        <v>42036</v>
      </c>
      <c r="B313" s="8">
        <f>YEAR(A313)</f>
        <v>2015</v>
      </c>
      <c r="C313" s="8">
        <f>MONTH(A313)</f>
        <v>2</v>
      </c>
      <c r="D313" s="3" t="s">
        <v>9</v>
      </c>
      <c r="E313" s="3" t="s">
        <v>19</v>
      </c>
      <c r="F313" s="3" t="s">
        <v>29</v>
      </c>
      <c r="G313" s="3" t="s">
        <v>40</v>
      </c>
      <c r="H313" s="3" t="s">
        <v>61</v>
      </c>
      <c r="I313" s="3">
        <v>1085.72</v>
      </c>
      <c r="J313" s="3">
        <v>3</v>
      </c>
      <c r="K313" s="3">
        <v>84.710899999999995</v>
      </c>
    </row>
    <row r="314" spans="1:11" ht="15.6" x14ac:dyDescent="0.3">
      <c r="A314" s="7">
        <v>42037</v>
      </c>
      <c r="B314" s="8">
        <f>YEAR(A314)</f>
        <v>2015</v>
      </c>
      <c r="C314" s="8">
        <f>MONTH(A314)</f>
        <v>2</v>
      </c>
      <c r="D314" s="3" t="s">
        <v>13</v>
      </c>
      <c r="E314" s="3" t="s">
        <v>27</v>
      </c>
      <c r="F314" s="3" t="s">
        <v>30</v>
      </c>
      <c r="G314" s="3" t="s">
        <v>33</v>
      </c>
      <c r="H314" s="3" t="s">
        <v>60</v>
      </c>
      <c r="I314" s="3">
        <v>760.27</v>
      </c>
      <c r="J314" s="3">
        <v>5</v>
      </c>
      <c r="K314" s="3">
        <v>-188.80680000000001</v>
      </c>
    </row>
    <row r="315" spans="1:11" ht="15.6" x14ac:dyDescent="0.3">
      <c r="A315" s="7">
        <v>42038</v>
      </c>
      <c r="B315" s="8">
        <f>YEAR(A315)</f>
        <v>2015</v>
      </c>
      <c r="C315" s="8">
        <f>MONTH(A315)</f>
        <v>2</v>
      </c>
      <c r="D315" s="3" t="s">
        <v>17</v>
      </c>
      <c r="E315" s="3" t="s">
        <v>26</v>
      </c>
      <c r="F315" s="3" t="s">
        <v>29</v>
      </c>
      <c r="G315" s="3" t="s">
        <v>41</v>
      </c>
      <c r="H315" s="3" t="s">
        <v>65</v>
      </c>
      <c r="I315" s="3">
        <v>603.07000000000005</v>
      </c>
      <c r="J315" s="3">
        <v>7</v>
      </c>
      <c r="K315" s="3">
        <v>-1.5807</v>
      </c>
    </row>
    <row r="316" spans="1:11" ht="15.6" x14ac:dyDescent="0.3">
      <c r="A316" s="7">
        <v>42040</v>
      </c>
      <c r="B316" s="8">
        <f>YEAR(A316)</f>
        <v>2015</v>
      </c>
      <c r="C316" s="8">
        <f>MONTH(A316)</f>
        <v>2</v>
      </c>
      <c r="D316" s="3" t="s">
        <v>15</v>
      </c>
      <c r="E316" s="3" t="s">
        <v>23</v>
      </c>
      <c r="F316" s="3" t="s">
        <v>30</v>
      </c>
      <c r="G316" s="3" t="s">
        <v>33</v>
      </c>
      <c r="H316" s="3" t="s">
        <v>60</v>
      </c>
      <c r="I316" s="3">
        <v>552.14</v>
      </c>
      <c r="J316" s="3">
        <v>3</v>
      </c>
      <c r="K316" s="3">
        <v>-94.695599999999999</v>
      </c>
    </row>
    <row r="317" spans="1:11" ht="15.6" x14ac:dyDescent="0.3">
      <c r="A317" s="7">
        <v>42040</v>
      </c>
      <c r="B317" s="8">
        <f>YEAR(A317)</f>
        <v>2015</v>
      </c>
      <c r="C317" s="8">
        <f>MONTH(A317)</f>
        <v>2</v>
      </c>
      <c r="D317" s="3" t="s">
        <v>14</v>
      </c>
      <c r="E317" s="3" t="s">
        <v>28</v>
      </c>
      <c r="F317" s="3" t="s">
        <v>31</v>
      </c>
      <c r="G317" s="3" t="s">
        <v>38</v>
      </c>
      <c r="H317" s="3" t="s">
        <v>53</v>
      </c>
      <c r="I317" s="3">
        <v>880.29</v>
      </c>
      <c r="J317" s="3">
        <v>9</v>
      </c>
      <c r="K317" s="3">
        <v>149.96770000000001</v>
      </c>
    </row>
    <row r="318" spans="1:11" ht="15.6" x14ac:dyDescent="0.3">
      <c r="A318" s="7">
        <v>42042</v>
      </c>
      <c r="B318" s="8">
        <f>YEAR(A318)</f>
        <v>2015</v>
      </c>
      <c r="C318" s="8">
        <f>MONTH(A318)</f>
        <v>2</v>
      </c>
      <c r="D318" s="3" t="s">
        <v>15</v>
      </c>
      <c r="E318" s="3" t="s">
        <v>19</v>
      </c>
      <c r="F318" s="3" t="s">
        <v>29</v>
      </c>
      <c r="G318" s="3" t="s">
        <v>41</v>
      </c>
      <c r="H318" s="3" t="s">
        <v>65</v>
      </c>
      <c r="I318" s="3">
        <v>811.75</v>
      </c>
      <c r="J318" s="3">
        <v>5</v>
      </c>
      <c r="K318" s="3">
        <v>-140.40299999999999</v>
      </c>
    </row>
    <row r="319" spans="1:11" ht="15.6" x14ac:dyDescent="0.3">
      <c r="A319" s="7">
        <v>42044</v>
      </c>
      <c r="B319" s="8">
        <f>YEAR(A319)</f>
        <v>2015</v>
      </c>
      <c r="C319" s="8">
        <f>MONTH(A319)</f>
        <v>2</v>
      </c>
      <c r="D319" s="3" t="s">
        <v>12</v>
      </c>
      <c r="E319" s="3" t="s">
        <v>24</v>
      </c>
      <c r="F319" s="3" t="s">
        <v>30</v>
      </c>
      <c r="G319" s="3" t="s">
        <v>35</v>
      </c>
      <c r="H319" s="3" t="s">
        <v>66</v>
      </c>
      <c r="I319" s="3">
        <v>212.33</v>
      </c>
      <c r="J319" s="3">
        <v>3</v>
      </c>
      <c r="K319" s="3">
        <v>36.130400000000002</v>
      </c>
    </row>
    <row r="320" spans="1:11" ht="15.6" x14ac:dyDescent="0.3">
      <c r="A320" s="7">
        <v>42045</v>
      </c>
      <c r="B320" s="8">
        <f>YEAR(A320)</f>
        <v>2015</v>
      </c>
      <c r="C320" s="8">
        <f>MONTH(A320)</f>
        <v>2</v>
      </c>
      <c r="D320" s="3" t="s">
        <v>13</v>
      </c>
      <c r="E320" s="3" t="s">
        <v>25</v>
      </c>
      <c r="F320" s="3" t="s">
        <v>30</v>
      </c>
      <c r="G320" s="3" t="s">
        <v>33</v>
      </c>
      <c r="H320" s="3" t="s">
        <v>60</v>
      </c>
      <c r="I320" s="3">
        <v>587.99</v>
      </c>
      <c r="J320" s="3">
        <v>10</v>
      </c>
      <c r="K320" s="3">
        <v>-148.71770000000001</v>
      </c>
    </row>
    <row r="321" spans="1:11" ht="15.6" x14ac:dyDescent="0.3">
      <c r="A321" s="7">
        <v>42045</v>
      </c>
      <c r="B321" s="8">
        <f>YEAR(A321)</f>
        <v>2015</v>
      </c>
      <c r="C321" s="8">
        <f>MONTH(A321)</f>
        <v>2</v>
      </c>
      <c r="D321" s="3" t="s">
        <v>18</v>
      </c>
      <c r="E321" s="3" t="s">
        <v>26</v>
      </c>
      <c r="F321" s="3" t="s">
        <v>31</v>
      </c>
      <c r="G321" s="3" t="s">
        <v>34</v>
      </c>
      <c r="H321" s="3" t="s">
        <v>47</v>
      </c>
      <c r="I321" s="3">
        <v>856.91</v>
      </c>
      <c r="J321" s="3">
        <v>9</v>
      </c>
      <c r="K321" s="3">
        <v>-292.28410000000002</v>
      </c>
    </row>
    <row r="322" spans="1:11" ht="15.6" x14ac:dyDescent="0.3">
      <c r="A322" s="7">
        <v>42047</v>
      </c>
      <c r="B322" s="8">
        <f>YEAR(A322)</f>
        <v>2015</v>
      </c>
      <c r="C322" s="8">
        <f>MONTH(A322)</f>
        <v>2</v>
      </c>
      <c r="D322" s="3" t="s">
        <v>18</v>
      </c>
      <c r="E322" s="3" t="s">
        <v>26</v>
      </c>
      <c r="F322" s="3" t="s">
        <v>29</v>
      </c>
      <c r="G322" s="3" t="s">
        <v>41</v>
      </c>
      <c r="H322" s="3" t="s">
        <v>57</v>
      </c>
      <c r="I322" s="3">
        <v>603.28</v>
      </c>
      <c r="J322" s="3">
        <v>8</v>
      </c>
      <c r="K322" s="3">
        <v>12.3767</v>
      </c>
    </row>
    <row r="323" spans="1:11" ht="15.6" x14ac:dyDescent="0.3">
      <c r="A323" s="7">
        <v>42047</v>
      </c>
      <c r="B323" s="8">
        <f>YEAR(A323)</f>
        <v>2015</v>
      </c>
      <c r="C323" s="8">
        <f>MONTH(A323)</f>
        <v>2</v>
      </c>
      <c r="D323" s="3" t="s">
        <v>18</v>
      </c>
      <c r="E323" s="3" t="s">
        <v>26</v>
      </c>
      <c r="F323" s="3" t="s">
        <v>29</v>
      </c>
      <c r="G323" s="3" t="s">
        <v>32</v>
      </c>
      <c r="H323" s="3" t="s">
        <v>52</v>
      </c>
      <c r="I323" s="3">
        <v>897.77</v>
      </c>
      <c r="J323" s="3">
        <v>6</v>
      </c>
      <c r="K323" s="3">
        <v>-204.20009999999999</v>
      </c>
    </row>
    <row r="324" spans="1:11" ht="15.6" x14ac:dyDescent="0.3">
      <c r="A324" s="7">
        <v>42047</v>
      </c>
      <c r="B324" s="8">
        <f>YEAR(A324)</f>
        <v>2015</v>
      </c>
      <c r="C324" s="8">
        <f>MONTH(A324)</f>
        <v>2</v>
      </c>
      <c r="D324" s="3" t="s">
        <v>14</v>
      </c>
      <c r="E324" s="3" t="s">
        <v>26</v>
      </c>
      <c r="F324" s="3" t="s">
        <v>31</v>
      </c>
      <c r="G324" s="3" t="s">
        <v>39</v>
      </c>
      <c r="H324" s="3" t="s">
        <v>54</v>
      </c>
      <c r="I324" s="3">
        <v>241.4</v>
      </c>
      <c r="J324" s="3">
        <v>3</v>
      </c>
      <c r="K324" s="3">
        <v>-56.92</v>
      </c>
    </row>
    <row r="325" spans="1:11" ht="15.6" x14ac:dyDescent="0.3">
      <c r="A325" s="7">
        <v>42048</v>
      </c>
      <c r="B325" s="8">
        <f>YEAR(A325)</f>
        <v>2015</v>
      </c>
      <c r="C325" s="8">
        <f>MONTH(A325)</f>
        <v>2</v>
      </c>
      <c r="D325" s="3" t="s">
        <v>10</v>
      </c>
      <c r="E325" s="3" t="s">
        <v>25</v>
      </c>
      <c r="F325" s="3" t="s">
        <v>31</v>
      </c>
      <c r="G325" s="3" t="s">
        <v>36</v>
      </c>
      <c r="H325" s="3" t="s">
        <v>50</v>
      </c>
      <c r="I325" s="3">
        <v>908.31</v>
      </c>
      <c r="J325" s="3">
        <v>5</v>
      </c>
      <c r="K325" s="3">
        <v>-144.5341</v>
      </c>
    </row>
    <row r="326" spans="1:11" ht="15.6" x14ac:dyDescent="0.3">
      <c r="A326" s="7">
        <v>42048</v>
      </c>
      <c r="B326" s="8">
        <f>YEAR(A326)</f>
        <v>2015</v>
      </c>
      <c r="C326" s="8">
        <f>MONTH(A326)</f>
        <v>2</v>
      </c>
      <c r="D326" s="3" t="s">
        <v>10</v>
      </c>
      <c r="E326" s="3" t="s">
        <v>28</v>
      </c>
      <c r="F326" s="3" t="s">
        <v>29</v>
      </c>
      <c r="G326" s="3" t="s">
        <v>40</v>
      </c>
      <c r="H326" s="3" t="s">
        <v>61</v>
      </c>
      <c r="I326" s="3">
        <v>227.28</v>
      </c>
      <c r="J326" s="3">
        <v>7</v>
      </c>
      <c r="K326" s="3">
        <v>-41.570099999999996</v>
      </c>
    </row>
    <row r="327" spans="1:11" ht="15.6" x14ac:dyDescent="0.3">
      <c r="A327" s="7">
        <v>42051</v>
      </c>
      <c r="B327" s="8">
        <f>YEAR(A327)</f>
        <v>2015</v>
      </c>
      <c r="C327" s="8">
        <f>MONTH(A327)</f>
        <v>2</v>
      </c>
      <c r="D327" s="3" t="s">
        <v>10</v>
      </c>
      <c r="E327" s="3" t="s">
        <v>27</v>
      </c>
      <c r="F327" s="3" t="s">
        <v>29</v>
      </c>
      <c r="G327" s="3" t="s">
        <v>40</v>
      </c>
      <c r="H327" s="3" t="s">
        <v>61</v>
      </c>
      <c r="I327" s="3">
        <v>255.61</v>
      </c>
      <c r="J327" s="3">
        <v>5</v>
      </c>
      <c r="K327" s="3">
        <v>29.384499999999999</v>
      </c>
    </row>
    <row r="328" spans="1:11" ht="15.6" x14ac:dyDescent="0.3">
      <c r="A328" s="7">
        <v>42053</v>
      </c>
      <c r="B328" s="8">
        <f>YEAR(A328)</f>
        <v>2015</v>
      </c>
      <c r="C328" s="8">
        <f>MONTH(A328)</f>
        <v>2</v>
      </c>
      <c r="D328" s="3" t="s">
        <v>18</v>
      </c>
      <c r="E328" s="3" t="s">
        <v>23</v>
      </c>
      <c r="F328" s="3" t="s">
        <v>29</v>
      </c>
      <c r="G328" s="3" t="s">
        <v>32</v>
      </c>
      <c r="H328" s="3" t="s">
        <v>44</v>
      </c>
      <c r="I328" s="3">
        <v>994.4</v>
      </c>
      <c r="J328" s="3">
        <v>5</v>
      </c>
      <c r="K328" s="3">
        <v>298.08920000000001</v>
      </c>
    </row>
    <row r="329" spans="1:11" ht="15.6" x14ac:dyDescent="0.3">
      <c r="A329" s="7">
        <v>42057</v>
      </c>
      <c r="B329" s="8">
        <f>YEAR(A329)</f>
        <v>2015</v>
      </c>
      <c r="C329" s="8">
        <f>MONTH(A329)</f>
        <v>2</v>
      </c>
      <c r="D329" s="3" t="s">
        <v>18</v>
      </c>
      <c r="E329" s="3" t="s">
        <v>27</v>
      </c>
      <c r="F329" s="3" t="s">
        <v>31</v>
      </c>
      <c r="G329" s="3" t="s">
        <v>43</v>
      </c>
      <c r="H329" s="3" t="s">
        <v>68</v>
      </c>
      <c r="I329" s="3">
        <v>495.4</v>
      </c>
      <c r="J329" s="3">
        <v>10</v>
      </c>
      <c r="K329" s="3">
        <v>143.8596</v>
      </c>
    </row>
    <row r="330" spans="1:11" ht="15.6" x14ac:dyDescent="0.3">
      <c r="A330" s="7">
        <v>42058</v>
      </c>
      <c r="B330" s="8">
        <f>YEAR(A330)</f>
        <v>2015</v>
      </c>
      <c r="C330" s="8">
        <f>MONTH(A330)</f>
        <v>2</v>
      </c>
      <c r="D330" s="3" t="s">
        <v>11</v>
      </c>
      <c r="E330" s="3" t="s">
        <v>23</v>
      </c>
      <c r="F330" s="3" t="s">
        <v>31</v>
      </c>
      <c r="G330" s="3" t="s">
        <v>43</v>
      </c>
      <c r="H330" s="3" t="s">
        <v>62</v>
      </c>
      <c r="I330" s="3">
        <v>84.03</v>
      </c>
      <c r="J330" s="3">
        <v>8</v>
      </c>
      <c r="K330" s="3">
        <v>21.0366</v>
      </c>
    </row>
    <row r="331" spans="1:11" ht="15.6" x14ac:dyDescent="0.3">
      <c r="A331" s="7">
        <v>42060</v>
      </c>
      <c r="B331" s="8">
        <f>YEAR(A331)</f>
        <v>2015</v>
      </c>
      <c r="C331" s="8">
        <f>MONTH(A331)</f>
        <v>2</v>
      </c>
      <c r="D331" s="3" t="s">
        <v>9</v>
      </c>
      <c r="E331" s="3" t="s">
        <v>21</v>
      </c>
      <c r="F331" s="3" t="s">
        <v>30</v>
      </c>
      <c r="G331" s="3" t="s">
        <v>33</v>
      </c>
      <c r="H331" s="3" t="s">
        <v>60</v>
      </c>
      <c r="I331" s="3">
        <v>826.88</v>
      </c>
      <c r="J331" s="3">
        <v>6</v>
      </c>
      <c r="K331" s="3">
        <v>-77.202600000000004</v>
      </c>
    </row>
    <row r="332" spans="1:11" ht="15.6" x14ac:dyDescent="0.3">
      <c r="A332" s="7">
        <v>42060</v>
      </c>
      <c r="B332" s="8">
        <f>YEAR(A332)</f>
        <v>2015</v>
      </c>
      <c r="C332" s="8">
        <f>MONTH(A332)</f>
        <v>2</v>
      </c>
      <c r="D332" s="3" t="s">
        <v>16</v>
      </c>
      <c r="E332" s="3" t="s">
        <v>19</v>
      </c>
      <c r="F332" s="3" t="s">
        <v>30</v>
      </c>
      <c r="G332" s="3" t="s">
        <v>42</v>
      </c>
      <c r="H332" s="3" t="s">
        <v>58</v>
      </c>
      <c r="I332" s="3">
        <v>707.19</v>
      </c>
      <c r="J332" s="3">
        <v>4</v>
      </c>
      <c r="K332" s="3">
        <v>-184.8691</v>
      </c>
    </row>
    <row r="333" spans="1:11" ht="15.6" x14ac:dyDescent="0.3">
      <c r="A333" s="7">
        <v>42061</v>
      </c>
      <c r="B333" s="8">
        <f>YEAR(A333)</f>
        <v>2015</v>
      </c>
      <c r="C333" s="8">
        <f>MONTH(A333)</f>
        <v>2</v>
      </c>
      <c r="D333" s="3" t="s">
        <v>15</v>
      </c>
      <c r="E333" s="3" t="s">
        <v>26</v>
      </c>
      <c r="F333" s="3" t="s">
        <v>30</v>
      </c>
      <c r="G333" s="3" t="s">
        <v>33</v>
      </c>
      <c r="H333" s="3" t="s">
        <v>45</v>
      </c>
      <c r="I333" s="3">
        <v>406.48</v>
      </c>
      <c r="J333" s="3">
        <v>9</v>
      </c>
      <c r="K333" s="3">
        <v>84.788799999999995</v>
      </c>
    </row>
    <row r="334" spans="1:11" ht="15.6" x14ac:dyDescent="0.3">
      <c r="A334" s="7">
        <v>42062</v>
      </c>
      <c r="B334" s="8">
        <f>YEAR(A334)</f>
        <v>2015</v>
      </c>
      <c r="C334" s="8">
        <f>MONTH(A334)</f>
        <v>2</v>
      </c>
      <c r="D334" s="3" t="s">
        <v>17</v>
      </c>
      <c r="E334" s="3" t="s">
        <v>23</v>
      </c>
      <c r="F334" s="3" t="s">
        <v>31</v>
      </c>
      <c r="G334" s="3" t="s">
        <v>36</v>
      </c>
      <c r="H334" s="3" t="s">
        <v>70</v>
      </c>
      <c r="I334" s="3">
        <v>175.99</v>
      </c>
      <c r="J334" s="3">
        <v>5</v>
      </c>
      <c r="K334" s="3">
        <v>-1.3525</v>
      </c>
    </row>
    <row r="335" spans="1:11" ht="15.6" x14ac:dyDescent="0.3">
      <c r="A335" s="7">
        <v>42063</v>
      </c>
      <c r="B335" s="8">
        <f>YEAR(A335)</f>
        <v>2015</v>
      </c>
      <c r="C335" s="8">
        <f>MONTH(A335)</f>
        <v>2</v>
      </c>
      <c r="D335" s="3" t="s">
        <v>12</v>
      </c>
      <c r="E335" s="3" t="s">
        <v>27</v>
      </c>
      <c r="F335" s="3" t="s">
        <v>31</v>
      </c>
      <c r="G335" s="3" t="s">
        <v>34</v>
      </c>
      <c r="H335" s="3" t="s">
        <v>47</v>
      </c>
      <c r="I335" s="3">
        <v>627.73</v>
      </c>
      <c r="J335" s="3">
        <v>6</v>
      </c>
      <c r="K335" s="3">
        <v>-26.915900000000001</v>
      </c>
    </row>
    <row r="336" spans="1:11" ht="15.6" x14ac:dyDescent="0.3">
      <c r="A336" s="7">
        <v>42063</v>
      </c>
      <c r="B336" s="8">
        <f>YEAR(A336)</f>
        <v>2015</v>
      </c>
      <c r="C336" s="8">
        <f>MONTH(A336)</f>
        <v>2</v>
      </c>
      <c r="D336" s="3" t="s">
        <v>17</v>
      </c>
      <c r="E336" s="3" t="s">
        <v>22</v>
      </c>
      <c r="F336" s="3" t="s">
        <v>30</v>
      </c>
      <c r="G336" s="3" t="s">
        <v>35</v>
      </c>
      <c r="H336" s="3" t="s">
        <v>49</v>
      </c>
      <c r="I336" s="3">
        <v>967.5</v>
      </c>
      <c r="J336" s="3">
        <v>10</v>
      </c>
      <c r="K336" s="3">
        <v>-132.43950000000001</v>
      </c>
    </row>
    <row r="337" spans="1:11" ht="15.6" x14ac:dyDescent="0.3">
      <c r="A337" s="7">
        <v>42063</v>
      </c>
      <c r="B337" s="8">
        <f>YEAR(A337)</f>
        <v>2015</v>
      </c>
      <c r="C337" s="8">
        <f>MONTH(A337)</f>
        <v>2</v>
      </c>
      <c r="D337" s="3" t="s">
        <v>16</v>
      </c>
      <c r="E337" s="3" t="s">
        <v>26</v>
      </c>
      <c r="F337" s="3" t="s">
        <v>31</v>
      </c>
      <c r="G337" s="3" t="s">
        <v>36</v>
      </c>
      <c r="H337" s="3" t="s">
        <v>70</v>
      </c>
      <c r="I337" s="3">
        <v>784.7</v>
      </c>
      <c r="J337" s="3">
        <v>10</v>
      </c>
      <c r="K337" s="3">
        <v>4.7202999999999999</v>
      </c>
    </row>
    <row r="338" spans="1:11" ht="15.6" x14ac:dyDescent="0.3">
      <c r="A338" s="7">
        <v>42064</v>
      </c>
      <c r="B338" s="8">
        <f>YEAR(A338)</f>
        <v>2015</v>
      </c>
      <c r="C338" s="8">
        <f>MONTH(A338)</f>
        <v>3</v>
      </c>
      <c r="D338" s="3" t="s">
        <v>17</v>
      </c>
      <c r="E338" s="3" t="s">
        <v>19</v>
      </c>
      <c r="F338" s="3" t="s">
        <v>30</v>
      </c>
      <c r="G338" s="3" t="s">
        <v>37</v>
      </c>
      <c r="H338" s="3" t="s">
        <v>64</v>
      </c>
      <c r="I338" s="3">
        <v>706.51</v>
      </c>
      <c r="J338" s="3">
        <v>7</v>
      </c>
      <c r="K338" s="3">
        <v>209.59059999999999</v>
      </c>
    </row>
    <row r="339" spans="1:11" ht="15.6" x14ac:dyDescent="0.3">
      <c r="A339" s="7">
        <v>42065</v>
      </c>
      <c r="B339" s="8">
        <f>YEAR(A339)</f>
        <v>2015</v>
      </c>
      <c r="C339" s="8">
        <f>MONTH(A339)</f>
        <v>3</v>
      </c>
      <c r="D339" s="3" t="s">
        <v>16</v>
      </c>
      <c r="E339" s="3" t="s">
        <v>26</v>
      </c>
      <c r="F339" s="3" t="s">
        <v>29</v>
      </c>
      <c r="G339" s="3" t="s">
        <v>41</v>
      </c>
      <c r="H339" s="3" t="s">
        <v>57</v>
      </c>
      <c r="I339" s="3">
        <v>752.49</v>
      </c>
      <c r="J339" s="3">
        <v>5</v>
      </c>
      <c r="K339" s="3">
        <v>71.728200000000001</v>
      </c>
    </row>
    <row r="340" spans="1:11" ht="15.6" x14ac:dyDescent="0.3">
      <c r="A340" s="7">
        <v>42069</v>
      </c>
      <c r="B340" s="8">
        <f>YEAR(A340)</f>
        <v>2015</v>
      </c>
      <c r="C340" s="8">
        <f>MONTH(A340)</f>
        <v>3</v>
      </c>
      <c r="D340" s="3" t="s">
        <v>15</v>
      </c>
      <c r="E340" s="3" t="s">
        <v>20</v>
      </c>
      <c r="F340" s="3" t="s">
        <v>31</v>
      </c>
      <c r="G340" s="3" t="s">
        <v>39</v>
      </c>
      <c r="H340" s="3" t="s">
        <v>54</v>
      </c>
      <c r="I340" s="3">
        <v>973.79</v>
      </c>
      <c r="J340" s="3">
        <v>10</v>
      </c>
      <c r="K340" s="3">
        <v>113.78749999999999</v>
      </c>
    </row>
    <row r="341" spans="1:11" ht="15.6" x14ac:dyDescent="0.3">
      <c r="A341" s="7">
        <v>42069</v>
      </c>
      <c r="B341" s="8">
        <f>YEAR(A341)</f>
        <v>2015</v>
      </c>
      <c r="C341" s="8">
        <f>MONTH(A341)</f>
        <v>3</v>
      </c>
      <c r="D341" s="3" t="s">
        <v>9</v>
      </c>
      <c r="E341" s="3" t="s">
        <v>27</v>
      </c>
      <c r="F341" s="3" t="s">
        <v>31</v>
      </c>
      <c r="G341" s="3" t="s">
        <v>39</v>
      </c>
      <c r="H341" s="3" t="s">
        <v>71</v>
      </c>
      <c r="I341" s="3">
        <v>303.2</v>
      </c>
      <c r="J341" s="3">
        <v>2</v>
      </c>
      <c r="K341" s="3">
        <v>-41.580599999999997</v>
      </c>
    </row>
    <row r="342" spans="1:11" ht="15.6" x14ac:dyDescent="0.3">
      <c r="A342" s="7">
        <v>42070</v>
      </c>
      <c r="B342" s="8">
        <f>YEAR(A342)</f>
        <v>2015</v>
      </c>
      <c r="C342" s="8">
        <f>MONTH(A342)</f>
        <v>3</v>
      </c>
      <c r="D342" s="3" t="s">
        <v>16</v>
      </c>
      <c r="E342" s="3" t="s">
        <v>23</v>
      </c>
      <c r="F342" s="3" t="s">
        <v>30</v>
      </c>
      <c r="G342" s="3" t="s">
        <v>35</v>
      </c>
      <c r="H342" s="3" t="s">
        <v>66</v>
      </c>
      <c r="I342" s="3">
        <v>1032</v>
      </c>
      <c r="J342" s="3">
        <v>3</v>
      </c>
      <c r="K342" s="3">
        <v>296.09949999999998</v>
      </c>
    </row>
    <row r="343" spans="1:11" ht="15.6" x14ac:dyDescent="0.3">
      <c r="A343" s="7">
        <v>42071</v>
      </c>
      <c r="B343" s="8">
        <f>YEAR(A343)</f>
        <v>2015</v>
      </c>
      <c r="C343" s="8">
        <f>MONTH(A343)</f>
        <v>3</v>
      </c>
      <c r="D343" s="3" t="s">
        <v>18</v>
      </c>
      <c r="E343" s="3" t="s">
        <v>27</v>
      </c>
      <c r="F343" s="3" t="s">
        <v>29</v>
      </c>
      <c r="G343" s="3" t="s">
        <v>41</v>
      </c>
      <c r="H343" s="3" t="s">
        <v>57</v>
      </c>
      <c r="I343" s="3">
        <v>458.42</v>
      </c>
      <c r="J343" s="3">
        <v>2</v>
      </c>
      <c r="K343" s="3">
        <v>-71.478200000000001</v>
      </c>
    </row>
    <row r="344" spans="1:11" ht="15.6" x14ac:dyDescent="0.3">
      <c r="A344" s="7">
        <v>42071</v>
      </c>
      <c r="B344" s="8">
        <f>YEAR(A344)</f>
        <v>2015</v>
      </c>
      <c r="C344" s="8">
        <f>MONTH(A344)</f>
        <v>3</v>
      </c>
      <c r="D344" s="3" t="s">
        <v>14</v>
      </c>
      <c r="E344" s="3" t="s">
        <v>23</v>
      </c>
      <c r="F344" s="3" t="s">
        <v>29</v>
      </c>
      <c r="G344" s="3" t="s">
        <v>40</v>
      </c>
      <c r="H344" s="3" t="s">
        <v>61</v>
      </c>
      <c r="I344" s="3">
        <v>204.46</v>
      </c>
      <c r="J344" s="3">
        <v>2</v>
      </c>
      <c r="K344" s="3">
        <v>-67.131299999999996</v>
      </c>
    </row>
    <row r="345" spans="1:11" ht="15.6" x14ac:dyDescent="0.3">
      <c r="A345" s="7">
        <v>42073</v>
      </c>
      <c r="B345" s="8">
        <f>YEAR(A345)</f>
        <v>2015</v>
      </c>
      <c r="C345" s="8">
        <f>MONTH(A345)</f>
        <v>3</v>
      </c>
      <c r="D345" s="3" t="s">
        <v>12</v>
      </c>
      <c r="E345" s="3" t="s">
        <v>19</v>
      </c>
      <c r="F345" s="3" t="s">
        <v>31</v>
      </c>
      <c r="G345" s="3" t="s">
        <v>36</v>
      </c>
      <c r="H345" s="3" t="s">
        <v>50</v>
      </c>
      <c r="I345" s="3">
        <v>548.37</v>
      </c>
      <c r="J345" s="3">
        <v>6</v>
      </c>
      <c r="K345" s="3">
        <v>93.728700000000003</v>
      </c>
    </row>
    <row r="346" spans="1:11" ht="15.6" x14ac:dyDescent="0.3">
      <c r="A346" s="7">
        <v>42078</v>
      </c>
      <c r="B346" s="8">
        <f>YEAR(A346)</f>
        <v>2015</v>
      </c>
      <c r="C346" s="8">
        <f>MONTH(A346)</f>
        <v>3</v>
      </c>
      <c r="D346" s="3" t="s">
        <v>9</v>
      </c>
      <c r="E346" s="3" t="s">
        <v>21</v>
      </c>
      <c r="F346" s="3" t="s">
        <v>30</v>
      </c>
      <c r="G346" s="3" t="s">
        <v>37</v>
      </c>
      <c r="H346" s="3" t="s">
        <v>51</v>
      </c>
      <c r="I346" s="3">
        <v>649.38</v>
      </c>
      <c r="J346" s="3">
        <v>10</v>
      </c>
      <c r="K346" s="3">
        <v>20.883199999999999</v>
      </c>
    </row>
    <row r="347" spans="1:11" ht="15.6" x14ac:dyDescent="0.3">
      <c r="A347" s="7">
        <v>42079</v>
      </c>
      <c r="B347" s="8">
        <f>YEAR(A347)</f>
        <v>2015</v>
      </c>
      <c r="C347" s="8">
        <f>MONTH(A347)</f>
        <v>3</v>
      </c>
      <c r="D347" s="3" t="s">
        <v>9</v>
      </c>
      <c r="E347" s="3" t="s">
        <v>24</v>
      </c>
      <c r="F347" s="3" t="s">
        <v>31</v>
      </c>
      <c r="G347" s="3" t="s">
        <v>43</v>
      </c>
      <c r="H347" s="3" t="s">
        <v>62</v>
      </c>
      <c r="I347" s="3">
        <v>612.47</v>
      </c>
      <c r="J347" s="3">
        <v>6</v>
      </c>
      <c r="K347" s="3">
        <v>122.8862</v>
      </c>
    </row>
    <row r="348" spans="1:11" ht="15.6" x14ac:dyDescent="0.3">
      <c r="A348" s="7">
        <v>42080</v>
      </c>
      <c r="B348" s="8">
        <f>YEAR(A348)</f>
        <v>2015</v>
      </c>
      <c r="C348" s="8">
        <f>MONTH(A348)</f>
        <v>3</v>
      </c>
      <c r="D348" s="3" t="s">
        <v>12</v>
      </c>
      <c r="E348" s="3" t="s">
        <v>22</v>
      </c>
      <c r="F348" s="3" t="s">
        <v>31</v>
      </c>
      <c r="G348" s="3" t="s">
        <v>34</v>
      </c>
      <c r="H348" s="3" t="s">
        <v>46</v>
      </c>
      <c r="I348" s="3">
        <v>1148.8699999999999</v>
      </c>
      <c r="J348" s="3">
        <v>6</v>
      </c>
      <c r="K348" s="3">
        <v>-371.47829999999999</v>
      </c>
    </row>
    <row r="349" spans="1:11" ht="15.6" x14ac:dyDescent="0.3">
      <c r="A349" s="7">
        <v>42080</v>
      </c>
      <c r="B349" s="8">
        <f>YEAR(A349)</f>
        <v>2015</v>
      </c>
      <c r="C349" s="8">
        <f>MONTH(A349)</f>
        <v>3</v>
      </c>
      <c r="D349" s="3" t="s">
        <v>9</v>
      </c>
      <c r="E349" s="3" t="s">
        <v>22</v>
      </c>
      <c r="F349" s="3" t="s">
        <v>29</v>
      </c>
      <c r="G349" s="3" t="s">
        <v>32</v>
      </c>
      <c r="H349" s="3" t="s">
        <v>44</v>
      </c>
      <c r="I349" s="3">
        <v>702.1</v>
      </c>
      <c r="J349" s="3">
        <v>1</v>
      </c>
      <c r="K349" s="3">
        <v>-254.22669999999999</v>
      </c>
    </row>
    <row r="350" spans="1:11" ht="15.6" x14ac:dyDescent="0.3">
      <c r="A350" s="7">
        <v>42085</v>
      </c>
      <c r="B350" s="8">
        <f>YEAR(A350)</f>
        <v>2015</v>
      </c>
      <c r="C350" s="8">
        <f>MONTH(A350)</f>
        <v>3</v>
      </c>
      <c r="D350" s="3" t="s">
        <v>16</v>
      </c>
      <c r="E350" s="3" t="s">
        <v>23</v>
      </c>
      <c r="F350" s="3" t="s">
        <v>30</v>
      </c>
      <c r="G350" s="3" t="s">
        <v>33</v>
      </c>
      <c r="H350" s="3" t="s">
        <v>60</v>
      </c>
      <c r="I350" s="3">
        <v>882.45</v>
      </c>
      <c r="J350" s="3">
        <v>6</v>
      </c>
      <c r="K350" s="3">
        <v>171.7937</v>
      </c>
    </row>
    <row r="351" spans="1:11" ht="15.6" x14ac:dyDescent="0.3">
      <c r="A351" s="7">
        <v>42087</v>
      </c>
      <c r="B351" s="8">
        <f>YEAR(A351)</f>
        <v>2015</v>
      </c>
      <c r="C351" s="8">
        <f>MONTH(A351)</f>
        <v>3</v>
      </c>
      <c r="D351" s="3" t="s">
        <v>14</v>
      </c>
      <c r="E351" s="3" t="s">
        <v>20</v>
      </c>
      <c r="F351" s="3" t="s">
        <v>29</v>
      </c>
      <c r="G351" s="3" t="s">
        <v>41</v>
      </c>
      <c r="H351" s="3" t="s">
        <v>57</v>
      </c>
      <c r="I351" s="3">
        <v>609.35</v>
      </c>
      <c r="J351" s="3">
        <v>6</v>
      </c>
      <c r="K351" s="3">
        <v>-216.11349999999999</v>
      </c>
    </row>
    <row r="352" spans="1:11" ht="15.6" x14ac:dyDescent="0.3">
      <c r="A352" s="7">
        <v>42087</v>
      </c>
      <c r="B352" s="8">
        <f>YEAR(A352)</f>
        <v>2015</v>
      </c>
      <c r="C352" s="8">
        <f>MONTH(A352)</f>
        <v>3</v>
      </c>
      <c r="D352" s="3" t="s">
        <v>14</v>
      </c>
      <c r="E352" s="3" t="s">
        <v>27</v>
      </c>
      <c r="F352" s="3" t="s">
        <v>31</v>
      </c>
      <c r="G352" s="3" t="s">
        <v>34</v>
      </c>
      <c r="H352" s="3" t="s">
        <v>47</v>
      </c>
      <c r="I352" s="3">
        <v>1140.6199999999999</v>
      </c>
      <c r="J352" s="3">
        <v>10</v>
      </c>
      <c r="K352" s="3">
        <v>-2.4247999999999998</v>
      </c>
    </row>
    <row r="353" spans="1:11" ht="15.6" x14ac:dyDescent="0.3">
      <c r="A353" s="7">
        <v>42093</v>
      </c>
      <c r="B353" s="8">
        <f>YEAR(A353)</f>
        <v>2015</v>
      </c>
      <c r="C353" s="8">
        <f>MONTH(A353)</f>
        <v>3</v>
      </c>
      <c r="D353" s="3" t="s">
        <v>18</v>
      </c>
      <c r="E353" s="3" t="s">
        <v>28</v>
      </c>
      <c r="F353" s="3" t="s">
        <v>30</v>
      </c>
      <c r="G353" s="3" t="s">
        <v>42</v>
      </c>
      <c r="H353" s="3" t="s">
        <v>67</v>
      </c>
      <c r="I353" s="3">
        <v>488.26</v>
      </c>
      <c r="J353" s="3">
        <v>4</v>
      </c>
      <c r="K353" s="3">
        <v>-83.172899999999998</v>
      </c>
    </row>
    <row r="354" spans="1:11" ht="15.6" x14ac:dyDescent="0.3">
      <c r="A354" s="7">
        <v>42094</v>
      </c>
      <c r="B354" s="8">
        <f>YEAR(A354)</f>
        <v>2015</v>
      </c>
      <c r="C354" s="8">
        <f>MONTH(A354)</f>
        <v>3</v>
      </c>
      <c r="D354" s="3" t="s">
        <v>17</v>
      </c>
      <c r="E354" s="3" t="s">
        <v>22</v>
      </c>
      <c r="F354" s="3" t="s">
        <v>30</v>
      </c>
      <c r="G354" s="3" t="s">
        <v>42</v>
      </c>
      <c r="H354" s="3" t="s">
        <v>67</v>
      </c>
      <c r="I354" s="3">
        <v>448.15</v>
      </c>
      <c r="J354" s="3">
        <v>10</v>
      </c>
      <c r="K354" s="3">
        <v>-166.57</v>
      </c>
    </row>
    <row r="355" spans="1:11" ht="15.6" x14ac:dyDescent="0.3">
      <c r="A355" s="7">
        <v>42096</v>
      </c>
      <c r="B355" s="8">
        <f>YEAR(A355)</f>
        <v>2015</v>
      </c>
      <c r="C355" s="8">
        <f>MONTH(A355)</f>
        <v>4</v>
      </c>
      <c r="D355" s="3" t="s">
        <v>11</v>
      </c>
      <c r="E355" s="3" t="s">
        <v>28</v>
      </c>
      <c r="F355" s="3" t="s">
        <v>30</v>
      </c>
      <c r="G355" s="3" t="s">
        <v>42</v>
      </c>
      <c r="H355" s="3" t="s">
        <v>58</v>
      </c>
      <c r="I355" s="3">
        <v>833.4</v>
      </c>
      <c r="J355" s="3">
        <v>8</v>
      </c>
      <c r="K355" s="3">
        <v>56.621200000000002</v>
      </c>
    </row>
    <row r="356" spans="1:11" ht="15.6" x14ac:dyDescent="0.3">
      <c r="A356" s="7">
        <v>42097</v>
      </c>
      <c r="B356" s="8">
        <f>YEAR(A356)</f>
        <v>2015</v>
      </c>
      <c r="C356" s="8">
        <f>MONTH(A356)</f>
        <v>4</v>
      </c>
      <c r="D356" s="3" t="s">
        <v>9</v>
      </c>
      <c r="E356" s="3" t="s">
        <v>19</v>
      </c>
      <c r="F356" s="3" t="s">
        <v>29</v>
      </c>
      <c r="G356" s="3" t="s">
        <v>32</v>
      </c>
      <c r="H356" s="3" t="s">
        <v>44</v>
      </c>
      <c r="I356" s="3">
        <v>171.75</v>
      </c>
      <c r="J356" s="3">
        <v>2</v>
      </c>
      <c r="K356" s="3">
        <v>18.467400000000001</v>
      </c>
    </row>
    <row r="357" spans="1:11" ht="15.6" x14ac:dyDescent="0.3">
      <c r="A357" s="7">
        <v>42099</v>
      </c>
      <c r="B357" s="8">
        <f>YEAR(A357)</f>
        <v>2015</v>
      </c>
      <c r="C357" s="8">
        <f>MONTH(A357)</f>
        <v>4</v>
      </c>
      <c r="D357" s="3" t="s">
        <v>12</v>
      </c>
      <c r="E357" s="3" t="s">
        <v>19</v>
      </c>
      <c r="F357" s="3" t="s">
        <v>29</v>
      </c>
      <c r="G357" s="3" t="s">
        <v>40</v>
      </c>
      <c r="H357" s="3" t="s">
        <v>56</v>
      </c>
      <c r="I357" s="3">
        <v>389.55</v>
      </c>
      <c r="J357" s="3">
        <v>7</v>
      </c>
      <c r="K357" s="3">
        <v>111.75839999999999</v>
      </c>
    </row>
    <row r="358" spans="1:11" ht="15.6" x14ac:dyDescent="0.3">
      <c r="A358" s="7">
        <v>42104</v>
      </c>
      <c r="B358" s="8">
        <f>YEAR(A358)</f>
        <v>2015</v>
      </c>
      <c r="C358" s="8">
        <f>MONTH(A358)</f>
        <v>4</v>
      </c>
      <c r="D358" s="3" t="s">
        <v>17</v>
      </c>
      <c r="E358" s="3" t="s">
        <v>25</v>
      </c>
      <c r="F358" s="3" t="s">
        <v>31</v>
      </c>
      <c r="G358" s="3" t="s">
        <v>43</v>
      </c>
      <c r="H358" s="3" t="s">
        <v>68</v>
      </c>
      <c r="I358" s="3">
        <v>583.66999999999996</v>
      </c>
      <c r="J358" s="3">
        <v>5</v>
      </c>
      <c r="K358" s="3">
        <v>103.4919</v>
      </c>
    </row>
    <row r="359" spans="1:11" ht="15.6" x14ac:dyDescent="0.3">
      <c r="A359" s="7">
        <v>42104</v>
      </c>
      <c r="B359" s="8">
        <f>YEAR(A359)</f>
        <v>2015</v>
      </c>
      <c r="C359" s="8">
        <f>MONTH(A359)</f>
        <v>4</v>
      </c>
      <c r="D359" s="3" t="s">
        <v>9</v>
      </c>
      <c r="E359" s="3" t="s">
        <v>24</v>
      </c>
      <c r="F359" s="3" t="s">
        <v>30</v>
      </c>
      <c r="G359" s="3" t="s">
        <v>35</v>
      </c>
      <c r="H359" s="3" t="s">
        <v>59</v>
      </c>
      <c r="I359" s="3">
        <v>372.38</v>
      </c>
      <c r="J359" s="3">
        <v>4</v>
      </c>
      <c r="K359" s="3">
        <v>-112.584</v>
      </c>
    </row>
    <row r="360" spans="1:11" ht="15.6" x14ac:dyDescent="0.3">
      <c r="A360" s="7">
        <v>42108</v>
      </c>
      <c r="B360" s="8">
        <f>YEAR(A360)</f>
        <v>2015</v>
      </c>
      <c r="C360" s="8">
        <f>MONTH(A360)</f>
        <v>4</v>
      </c>
      <c r="D360" s="3" t="s">
        <v>17</v>
      </c>
      <c r="E360" s="3" t="s">
        <v>24</v>
      </c>
      <c r="F360" s="3" t="s">
        <v>30</v>
      </c>
      <c r="G360" s="3" t="s">
        <v>42</v>
      </c>
      <c r="H360" s="3" t="s">
        <v>58</v>
      </c>
      <c r="I360" s="3">
        <v>1088.68</v>
      </c>
      <c r="J360" s="3">
        <v>8</v>
      </c>
      <c r="K360" s="3">
        <v>-273.58569999999997</v>
      </c>
    </row>
    <row r="361" spans="1:11" ht="15.6" x14ac:dyDescent="0.3">
      <c r="A361" s="7">
        <v>42109</v>
      </c>
      <c r="B361" s="8">
        <f>YEAR(A361)</f>
        <v>2015</v>
      </c>
      <c r="C361" s="8">
        <f>MONTH(A361)</f>
        <v>4</v>
      </c>
      <c r="D361" s="3" t="s">
        <v>17</v>
      </c>
      <c r="E361" s="3" t="s">
        <v>25</v>
      </c>
      <c r="F361" s="3" t="s">
        <v>30</v>
      </c>
      <c r="G361" s="3" t="s">
        <v>33</v>
      </c>
      <c r="H361" s="3" t="s">
        <v>55</v>
      </c>
      <c r="I361" s="3">
        <v>300.64</v>
      </c>
      <c r="J361" s="3">
        <v>5</v>
      </c>
      <c r="K361" s="3">
        <v>-20.3322</v>
      </c>
    </row>
    <row r="362" spans="1:11" ht="15.6" x14ac:dyDescent="0.3">
      <c r="A362" s="7">
        <v>42115</v>
      </c>
      <c r="B362" s="8">
        <f>YEAR(A362)</f>
        <v>2015</v>
      </c>
      <c r="C362" s="8">
        <f>MONTH(A362)</f>
        <v>4</v>
      </c>
      <c r="D362" s="3" t="s">
        <v>11</v>
      </c>
      <c r="E362" s="3" t="s">
        <v>23</v>
      </c>
      <c r="F362" s="3" t="s">
        <v>30</v>
      </c>
      <c r="G362" s="3" t="s">
        <v>42</v>
      </c>
      <c r="H362" s="3" t="s">
        <v>69</v>
      </c>
      <c r="I362" s="3">
        <v>1002.76</v>
      </c>
      <c r="J362" s="3">
        <v>9</v>
      </c>
      <c r="K362" s="3">
        <v>83.734499999999997</v>
      </c>
    </row>
    <row r="363" spans="1:11" ht="15.6" x14ac:dyDescent="0.3">
      <c r="A363" s="7">
        <v>42115</v>
      </c>
      <c r="B363" s="8">
        <f>YEAR(A363)</f>
        <v>2015</v>
      </c>
      <c r="C363" s="8">
        <f>MONTH(A363)</f>
        <v>4</v>
      </c>
      <c r="D363" s="3" t="s">
        <v>16</v>
      </c>
      <c r="E363" s="3" t="s">
        <v>24</v>
      </c>
      <c r="F363" s="3" t="s">
        <v>31</v>
      </c>
      <c r="G363" s="3" t="s">
        <v>34</v>
      </c>
      <c r="H363" s="3" t="s">
        <v>47</v>
      </c>
      <c r="I363" s="3">
        <v>611.62</v>
      </c>
      <c r="J363" s="3">
        <v>10</v>
      </c>
      <c r="K363" s="3">
        <v>172.3561</v>
      </c>
    </row>
    <row r="364" spans="1:11" ht="15.6" x14ac:dyDescent="0.3">
      <c r="A364" s="7">
        <v>42116</v>
      </c>
      <c r="B364" s="8">
        <f>YEAR(A364)</f>
        <v>2015</v>
      </c>
      <c r="C364" s="8">
        <f>MONTH(A364)</f>
        <v>4</v>
      </c>
      <c r="D364" s="3" t="s">
        <v>12</v>
      </c>
      <c r="E364" s="3" t="s">
        <v>28</v>
      </c>
      <c r="F364" s="3" t="s">
        <v>30</v>
      </c>
      <c r="G364" s="3" t="s">
        <v>42</v>
      </c>
      <c r="H364" s="3" t="s">
        <v>69</v>
      </c>
      <c r="I364" s="3">
        <v>723.99</v>
      </c>
      <c r="J364" s="3">
        <v>1</v>
      </c>
      <c r="K364" s="3">
        <v>-3.7383999999999999</v>
      </c>
    </row>
    <row r="365" spans="1:11" ht="15.6" x14ac:dyDescent="0.3">
      <c r="A365" s="7">
        <v>42117</v>
      </c>
      <c r="B365" s="8">
        <f>YEAR(A365)</f>
        <v>2015</v>
      </c>
      <c r="C365" s="8">
        <f>MONTH(A365)</f>
        <v>4</v>
      </c>
      <c r="D365" s="3" t="s">
        <v>14</v>
      </c>
      <c r="E365" s="3" t="s">
        <v>25</v>
      </c>
      <c r="F365" s="3" t="s">
        <v>30</v>
      </c>
      <c r="G365" s="3" t="s">
        <v>33</v>
      </c>
      <c r="H365" s="3" t="s">
        <v>45</v>
      </c>
      <c r="I365" s="3">
        <v>652.15</v>
      </c>
      <c r="J365" s="3">
        <v>1</v>
      </c>
      <c r="K365" s="3">
        <v>204.28120000000001</v>
      </c>
    </row>
    <row r="366" spans="1:11" ht="15.6" x14ac:dyDescent="0.3">
      <c r="A366" s="7">
        <v>42118</v>
      </c>
      <c r="B366" s="8">
        <f>YEAR(A366)</f>
        <v>2015</v>
      </c>
      <c r="C366" s="8">
        <f>MONTH(A366)</f>
        <v>4</v>
      </c>
      <c r="D366" s="3" t="s">
        <v>13</v>
      </c>
      <c r="E366" s="3" t="s">
        <v>27</v>
      </c>
      <c r="F366" s="3" t="s">
        <v>31</v>
      </c>
      <c r="G366" s="3" t="s">
        <v>36</v>
      </c>
      <c r="H366" s="3" t="s">
        <v>50</v>
      </c>
      <c r="I366" s="3">
        <v>94.25</v>
      </c>
      <c r="J366" s="3">
        <v>4</v>
      </c>
      <c r="K366" s="3">
        <v>-28.078600000000002</v>
      </c>
    </row>
    <row r="367" spans="1:11" ht="15.6" x14ac:dyDescent="0.3">
      <c r="A367" s="7">
        <v>42118</v>
      </c>
      <c r="B367" s="8">
        <f>YEAR(A367)</f>
        <v>2015</v>
      </c>
      <c r="C367" s="8">
        <f>MONTH(A367)</f>
        <v>4</v>
      </c>
      <c r="D367" s="3" t="s">
        <v>9</v>
      </c>
      <c r="E367" s="3" t="s">
        <v>28</v>
      </c>
      <c r="F367" s="3" t="s">
        <v>30</v>
      </c>
      <c r="G367" s="3" t="s">
        <v>33</v>
      </c>
      <c r="H367" s="3" t="s">
        <v>60</v>
      </c>
      <c r="I367" s="3">
        <v>1096.9100000000001</v>
      </c>
      <c r="J367" s="3">
        <v>1</v>
      </c>
      <c r="K367" s="3">
        <v>-217.33099999999999</v>
      </c>
    </row>
    <row r="368" spans="1:11" ht="15.6" x14ac:dyDescent="0.3">
      <c r="A368" s="7">
        <v>42121</v>
      </c>
      <c r="B368" s="8">
        <f>YEAR(A368)</f>
        <v>2015</v>
      </c>
      <c r="C368" s="8">
        <f>MONTH(A368)</f>
        <v>4</v>
      </c>
      <c r="D368" s="3" t="s">
        <v>14</v>
      </c>
      <c r="E368" s="3" t="s">
        <v>21</v>
      </c>
      <c r="F368" s="3" t="s">
        <v>29</v>
      </c>
      <c r="G368" s="3" t="s">
        <v>32</v>
      </c>
      <c r="H368" s="3" t="s">
        <v>52</v>
      </c>
      <c r="I368" s="3">
        <v>99.2</v>
      </c>
      <c r="J368" s="3">
        <v>8</v>
      </c>
      <c r="K368" s="3">
        <v>19.933800000000002</v>
      </c>
    </row>
    <row r="369" spans="1:11" ht="15.6" x14ac:dyDescent="0.3">
      <c r="A369" s="7">
        <v>42122</v>
      </c>
      <c r="B369" s="8">
        <f>YEAR(A369)</f>
        <v>2015</v>
      </c>
      <c r="C369" s="8">
        <f>MONTH(A369)</f>
        <v>4</v>
      </c>
      <c r="D369" s="3" t="s">
        <v>13</v>
      </c>
      <c r="E369" s="3" t="s">
        <v>21</v>
      </c>
      <c r="F369" s="3" t="s">
        <v>29</v>
      </c>
      <c r="G369" s="3" t="s">
        <v>32</v>
      </c>
      <c r="H369" s="3" t="s">
        <v>48</v>
      </c>
      <c r="I369" s="3">
        <v>574.13</v>
      </c>
      <c r="J369" s="3">
        <v>2</v>
      </c>
      <c r="K369" s="3">
        <v>-59.650199999999998</v>
      </c>
    </row>
    <row r="370" spans="1:11" ht="15.6" x14ac:dyDescent="0.3">
      <c r="A370" s="7">
        <v>42123</v>
      </c>
      <c r="B370" s="8">
        <f>YEAR(A370)</f>
        <v>2015</v>
      </c>
      <c r="C370" s="8">
        <f>MONTH(A370)</f>
        <v>4</v>
      </c>
      <c r="D370" s="3" t="s">
        <v>15</v>
      </c>
      <c r="E370" s="3" t="s">
        <v>27</v>
      </c>
      <c r="F370" s="3" t="s">
        <v>29</v>
      </c>
      <c r="G370" s="3" t="s">
        <v>40</v>
      </c>
      <c r="H370" s="3" t="s">
        <v>56</v>
      </c>
      <c r="I370" s="3">
        <v>1122.92</v>
      </c>
      <c r="J370" s="3">
        <v>4</v>
      </c>
      <c r="K370" s="3">
        <v>-327.65859999999998</v>
      </c>
    </row>
    <row r="371" spans="1:11" ht="15.6" x14ac:dyDescent="0.3">
      <c r="A371" s="7">
        <v>42124</v>
      </c>
      <c r="B371" s="8">
        <f>YEAR(A371)</f>
        <v>2015</v>
      </c>
      <c r="C371" s="8">
        <f>MONTH(A371)</f>
        <v>4</v>
      </c>
      <c r="D371" s="3" t="s">
        <v>10</v>
      </c>
      <c r="E371" s="3" t="s">
        <v>24</v>
      </c>
      <c r="F371" s="3" t="s">
        <v>30</v>
      </c>
      <c r="G371" s="3" t="s">
        <v>35</v>
      </c>
      <c r="H371" s="3" t="s">
        <v>49</v>
      </c>
      <c r="I371" s="3">
        <v>949.5</v>
      </c>
      <c r="J371" s="3">
        <v>1</v>
      </c>
      <c r="K371" s="3">
        <v>-122.7966</v>
      </c>
    </row>
    <row r="372" spans="1:11" ht="15.6" x14ac:dyDescent="0.3">
      <c r="A372" s="7">
        <v>42124</v>
      </c>
      <c r="B372" s="8">
        <f>YEAR(A372)</f>
        <v>2015</v>
      </c>
      <c r="C372" s="8">
        <f>MONTH(A372)</f>
        <v>4</v>
      </c>
      <c r="D372" s="3" t="s">
        <v>12</v>
      </c>
      <c r="E372" s="3" t="s">
        <v>22</v>
      </c>
      <c r="F372" s="3" t="s">
        <v>29</v>
      </c>
      <c r="G372" s="3" t="s">
        <v>41</v>
      </c>
      <c r="H372" s="3" t="s">
        <v>65</v>
      </c>
      <c r="I372" s="3">
        <v>856</v>
      </c>
      <c r="J372" s="3">
        <v>5</v>
      </c>
      <c r="K372" s="3">
        <v>-78.642099999999999</v>
      </c>
    </row>
    <row r="373" spans="1:11" ht="15.6" x14ac:dyDescent="0.3">
      <c r="A373" s="7">
        <v>42125</v>
      </c>
      <c r="B373" s="8">
        <f>YEAR(A373)</f>
        <v>2015</v>
      </c>
      <c r="C373" s="8">
        <f>MONTH(A373)</f>
        <v>5</v>
      </c>
      <c r="D373" s="3" t="s">
        <v>17</v>
      </c>
      <c r="E373" s="3" t="s">
        <v>27</v>
      </c>
      <c r="F373" s="3" t="s">
        <v>29</v>
      </c>
      <c r="G373" s="3" t="s">
        <v>40</v>
      </c>
      <c r="H373" s="3" t="s">
        <v>56</v>
      </c>
      <c r="I373" s="3">
        <v>365.61</v>
      </c>
      <c r="J373" s="3">
        <v>3</v>
      </c>
      <c r="K373" s="3">
        <v>124.0411</v>
      </c>
    </row>
    <row r="374" spans="1:11" ht="15.6" x14ac:dyDescent="0.3">
      <c r="A374" s="7">
        <v>42126</v>
      </c>
      <c r="B374" s="8">
        <f>YEAR(A374)</f>
        <v>2015</v>
      </c>
      <c r="C374" s="8">
        <f>MONTH(A374)</f>
        <v>5</v>
      </c>
      <c r="D374" s="3" t="s">
        <v>17</v>
      </c>
      <c r="E374" s="3" t="s">
        <v>21</v>
      </c>
      <c r="F374" s="3" t="s">
        <v>31</v>
      </c>
      <c r="G374" s="3" t="s">
        <v>39</v>
      </c>
      <c r="H374" s="3" t="s">
        <v>71</v>
      </c>
      <c r="I374" s="3">
        <v>364.88</v>
      </c>
      <c r="J374" s="3">
        <v>1</v>
      </c>
      <c r="K374" s="3">
        <v>-80.700599999999994</v>
      </c>
    </row>
    <row r="375" spans="1:11" ht="15.6" x14ac:dyDescent="0.3">
      <c r="A375" s="7">
        <v>42126</v>
      </c>
      <c r="B375" s="8">
        <f>YEAR(A375)</f>
        <v>2015</v>
      </c>
      <c r="C375" s="8">
        <f>MONTH(A375)</f>
        <v>5</v>
      </c>
      <c r="D375" s="3" t="s">
        <v>10</v>
      </c>
      <c r="E375" s="3" t="s">
        <v>24</v>
      </c>
      <c r="F375" s="3" t="s">
        <v>29</v>
      </c>
      <c r="G375" s="3" t="s">
        <v>40</v>
      </c>
      <c r="H375" s="3" t="s">
        <v>56</v>
      </c>
      <c r="I375" s="3">
        <v>615.54999999999995</v>
      </c>
      <c r="J375" s="3">
        <v>5</v>
      </c>
      <c r="K375" s="3">
        <v>73.682599999999994</v>
      </c>
    </row>
    <row r="376" spans="1:11" ht="15.6" x14ac:dyDescent="0.3">
      <c r="A376" s="7">
        <v>42127</v>
      </c>
      <c r="B376" s="8">
        <f>YEAR(A376)</f>
        <v>2015</v>
      </c>
      <c r="C376" s="8">
        <f>MONTH(A376)</f>
        <v>5</v>
      </c>
      <c r="D376" s="3" t="s">
        <v>16</v>
      </c>
      <c r="E376" s="3" t="s">
        <v>25</v>
      </c>
      <c r="F376" s="3" t="s">
        <v>30</v>
      </c>
      <c r="G376" s="3" t="s">
        <v>35</v>
      </c>
      <c r="H376" s="3" t="s">
        <v>49</v>
      </c>
      <c r="I376" s="3">
        <v>144.72</v>
      </c>
      <c r="J376" s="3">
        <v>6</v>
      </c>
      <c r="K376" s="3">
        <v>4.4710000000000001</v>
      </c>
    </row>
    <row r="377" spans="1:11" ht="15.6" x14ac:dyDescent="0.3">
      <c r="A377" s="7">
        <v>42128</v>
      </c>
      <c r="B377" s="8">
        <f>YEAR(A377)</f>
        <v>2015</v>
      </c>
      <c r="C377" s="8">
        <f>MONTH(A377)</f>
        <v>5</v>
      </c>
      <c r="D377" s="3" t="s">
        <v>12</v>
      </c>
      <c r="E377" s="3" t="s">
        <v>19</v>
      </c>
      <c r="F377" s="3" t="s">
        <v>30</v>
      </c>
      <c r="G377" s="3" t="s">
        <v>42</v>
      </c>
      <c r="H377" s="3" t="s">
        <v>58</v>
      </c>
      <c r="I377" s="3">
        <v>589.63</v>
      </c>
      <c r="J377" s="3">
        <v>2</v>
      </c>
      <c r="K377" s="3">
        <v>114.71510000000001</v>
      </c>
    </row>
    <row r="378" spans="1:11" ht="15.6" x14ac:dyDescent="0.3">
      <c r="A378" s="7">
        <v>42128</v>
      </c>
      <c r="B378" s="8">
        <f>YEAR(A378)</f>
        <v>2015</v>
      </c>
      <c r="C378" s="8">
        <f>MONTH(A378)</f>
        <v>5</v>
      </c>
      <c r="D378" s="3" t="s">
        <v>15</v>
      </c>
      <c r="E378" s="3" t="s">
        <v>23</v>
      </c>
      <c r="F378" s="3" t="s">
        <v>30</v>
      </c>
      <c r="G378" s="3" t="s">
        <v>42</v>
      </c>
      <c r="H378" s="3" t="s">
        <v>67</v>
      </c>
      <c r="I378" s="3">
        <v>1150.77</v>
      </c>
      <c r="J378" s="3">
        <v>1</v>
      </c>
      <c r="K378" s="3">
        <v>248.82560000000001</v>
      </c>
    </row>
    <row r="379" spans="1:11" ht="15.6" x14ac:dyDescent="0.3">
      <c r="A379" s="7">
        <v>42129</v>
      </c>
      <c r="B379" s="8">
        <f>YEAR(A379)</f>
        <v>2015</v>
      </c>
      <c r="C379" s="8">
        <f>MONTH(A379)</f>
        <v>5</v>
      </c>
      <c r="D379" s="3" t="s">
        <v>14</v>
      </c>
      <c r="E379" s="3" t="s">
        <v>26</v>
      </c>
      <c r="F379" s="3" t="s">
        <v>30</v>
      </c>
      <c r="G379" s="3" t="s">
        <v>42</v>
      </c>
      <c r="H379" s="3" t="s">
        <v>67</v>
      </c>
      <c r="I379" s="3">
        <v>787.75</v>
      </c>
      <c r="J379" s="3">
        <v>3</v>
      </c>
      <c r="K379" s="3">
        <v>-263.79219999999998</v>
      </c>
    </row>
    <row r="380" spans="1:11" ht="15.6" x14ac:dyDescent="0.3">
      <c r="A380" s="7">
        <v>42129</v>
      </c>
      <c r="B380" s="8">
        <f>YEAR(A380)</f>
        <v>2015</v>
      </c>
      <c r="C380" s="8">
        <f>MONTH(A380)</f>
        <v>5</v>
      </c>
      <c r="D380" s="3" t="s">
        <v>13</v>
      </c>
      <c r="E380" s="3" t="s">
        <v>24</v>
      </c>
      <c r="F380" s="3" t="s">
        <v>30</v>
      </c>
      <c r="G380" s="3" t="s">
        <v>37</v>
      </c>
      <c r="H380" s="3" t="s">
        <v>51</v>
      </c>
      <c r="I380" s="3">
        <v>778.93</v>
      </c>
      <c r="J380" s="3">
        <v>2</v>
      </c>
      <c r="K380" s="3">
        <v>-302.26560000000001</v>
      </c>
    </row>
    <row r="381" spans="1:11" ht="15.6" x14ac:dyDescent="0.3">
      <c r="A381" s="7">
        <v>42130</v>
      </c>
      <c r="B381" s="8">
        <f>YEAR(A381)</f>
        <v>2015</v>
      </c>
      <c r="C381" s="8">
        <f>MONTH(A381)</f>
        <v>5</v>
      </c>
      <c r="D381" s="3" t="s">
        <v>14</v>
      </c>
      <c r="E381" s="3" t="s">
        <v>23</v>
      </c>
      <c r="F381" s="3" t="s">
        <v>30</v>
      </c>
      <c r="G381" s="3" t="s">
        <v>33</v>
      </c>
      <c r="H381" s="3" t="s">
        <v>60</v>
      </c>
      <c r="I381" s="3">
        <v>622.35</v>
      </c>
      <c r="J381" s="3">
        <v>10</v>
      </c>
      <c r="K381" s="3">
        <v>128.00569999999999</v>
      </c>
    </row>
    <row r="382" spans="1:11" ht="15.6" x14ac:dyDescent="0.3">
      <c r="A382" s="7">
        <v>42132</v>
      </c>
      <c r="B382" s="8">
        <f>YEAR(A382)</f>
        <v>2015</v>
      </c>
      <c r="C382" s="8">
        <f>MONTH(A382)</f>
        <v>5</v>
      </c>
      <c r="D382" s="3" t="s">
        <v>12</v>
      </c>
      <c r="E382" s="3" t="s">
        <v>23</v>
      </c>
      <c r="F382" s="3" t="s">
        <v>31</v>
      </c>
      <c r="G382" s="3" t="s">
        <v>39</v>
      </c>
      <c r="H382" s="3" t="s">
        <v>71</v>
      </c>
      <c r="I382" s="3">
        <v>686.94</v>
      </c>
      <c r="J382" s="3">
        <v>3</v>
      </c>
      <c r="K382" s="3">
        <v>67.511399999999995</v>
      </c>
    </row>
    <row r="383" spans="1:11" ht="15.6" x14ac:dyDescent="0.3">
      <c r="A383" s="7">
        <v>42132</v>
      </c>
      <c r="B383" s="8">
        <f>YEAR(A383)</f>
        <v>2015</v>
      </c>
      <c r="C383" s="8">
        <f>MONTH(A383)</f>
        <v>5</v>
      </c>
      <c r="D383" s="3" t="s">
        <v>10</v>
      </c>
      <c r="E383" s="3" t="s">
        <v>19</v>
      </c>
      <c r="F383" s="3" t="s">
        <v>30</v>
      </c>
      <c r="G383" s="3" t="s">
        <v>37</v>
      </c>
      <c r="H383" s="3" t="s">
        <v>51</v>
      </c>
      <c r="I383" s="3">
        <v>1085.8699999999999</v>
      </c>
      <c r="J383" s="3">
        <v>10</v>
      </c>
      <c r="K383" s="3">
        <v>313.7681</v>
      </c>
    </row>
    <row r="384" spans="1:11" ht="15.6" x14ac:dyDescent="0.3">
      <c r="A384" s="7">
        <v>42132</v>
      </c>
      <c r="B384" s="8">
        <f>YEAR(A384)</f>
        <v>2015</v>
      </c>
      <c r="C384" s="8">
        <f>MONTH(A384)</f>
        <v>5</v>
      </c>
      <c r="D384" s="3" t="s">
        <v>13</v>
      </c>
      <c r="E384" s="3" t="s">
        <v>22</v>
      </c>
      <c r="F384" s="3" t="s">
        <v>29</v>
      </c>
      <c r="G384" s="3" t="s">
        <v>32</v>
      </c>
      <c r="H384" s="3" t="s">
        <v>48</v>
      </c>
      <c r="I384" s="3">
        <v>677.96</v>
      </c>
      <c r="J384" s="3">
        <v>4</v>
      </c>
      <c r="K384" s="3">
        <v>-80.475700000000003</v>
      </c>
    </row>
    <row r="385" spans="1:11" ht="15.6" x14ac:dyDescent="0.3">
      <c r="A385" s="7">
        <v>42137</v>
      </c>
      <c r="B385" s="8">
        <f>YEAR(A385)</f>
        <v>2015</v>
      </c>
      <c r="C385" s="8">
        <f>MONTH(A385)</f>
        <v>5</v>
      </c>
      <c r="D385" s="3" t="s">
        <v>17</v>
      </c>
      <c r="E385" s="3" t="s">
        <v>22</v>
      </c>
      <c r="F385" s="3" t="s">
        <v>31</v>
      </c>
      <c r="G385" s="3" t="s">
        <v>43</v>
      </c>
      <c r="H385" s="3" t="s">
        <v>62</v>
      </c>
      <c r="I385" s="3">
        <v>126.77</v>
      </c>
      <c r="J385" s="3">
        <v>5</v>
      </c>
      <c r="K385" s="3">
        <v>30.1358</v>
      </c>
    </row>
    <row r="386" spans="1:11" ht="15.6" x14ac:dyDescent="0.3">
      <c r="A386" s="7">
        <v>42138</v>
      </c>
      <c r="B386" s="8">
        <f>YEAR(A386)</f>
        <v>2015</v>
      </c>
      <c r="C386" s="8">
        <f>MONTH(A386)</f>
        <v>5</v>
      </c>
      <c r="D386" s="3" t="s">
        <v>14</v>
      </c>
      <c r="E386" s="3" t="s">
        <v>26</v>
      </c>
      <c r="F386" s="3" t="s">
        <v>30</v>
      </c>
      <c r="G386" s="3" t="s">
        <v>42</v>
      </c>
      <c r="H386" s="3" t="s">
        <v>67</v>
      </c>
      <c r="I386" s="3">
        <v>1186.6400000000001</v>
      </c>
      <c r="J386" s="3">
        <v>10</v>
      </c>
      <c r="K386" s="3">
        <v>-292.02710000000002</v>
      </c>
    </row>
    <row r="387" spans="1:11" ht="15.6" x14ac:dyDescent="0.3">
      <c r="A387" s="7">
        <v>42138</v>
      </c>
      <c r="B387" s="8">
        <f>YEAR(A387)</f>
        <v>2015</v>
      </c>
      <c r="C387" s="8">
        <f>MONTH(A387)</f>
        <v>5</v>
      </c>
      <c r="D387" s="3" t="s">
        <v>12</v>
      </c>
      <c r="E387" s="3" t="s">
        <v>27</v>
      </c>
      <c r="F387" s="3" t="s">
        <v>29</v>
      </c>
      <c r="G387" s="3" t="s">
        <v>41</v>
      </c>
      <c r="H387" s="3" t="s">
        <v>65</v>
      </c>
      <c r="I387" s="3">
        <v>1111.18</v>
      </c>
      <c r="J387" s="3">
        <v>1</v>
      </c>
      <c r="K387" s="3">
        <v>-333.3227</v>
      </c>
    </row>
    <row r="388" spans="1:11" ht="15.6" x14ac:dyDescent="0.3">
      <c r="A388" s="7">
        <v>42142</v>
      </c>
      <c r="B388" s="8">
        <f>YEAR(A388)</f>
        <v>2015</v>
      </c>
      <c r="C388" s="8">
        <f>MONTH(A388)</f>
        <v>5</v>
      </c>
      <c r="D388" s="3" t="s">
        <v>10</v>
      </c>
      <c r="E388" s="3" t="s">
        <v>25</v>
      </c>
      <c r="F388" s="3" t="s">
        <v>30</v>
      </c>
      <c r="G388" s="3" t="s">
        <v>37</v>
      </c>
      <c r="H388" s="3" t="s">
        <v>64</v>
      </c>
      <c r="I388" s="3">
        <v>996.48</v>
      </c>
      <c r="J388" s="3">
        <v>10</v>
      </c>
      <c r="K388" s="3">
        <v>-66.592699999999994</v>
      </c>
    </row>
    <row r="389" spans="1:11" ht="15.6" x14ac:dyDescent="0.3">
      <c r="A389" s="7">
        <v>42142</v>
      </c>
      <c r="B389" s="8">
        <f>YEAR(A389)</f>
        <v>2015</v>
      </c>
      <c r="C389" s="8">
        <f>MONTH(A389)</f>
        <v>5</v>
      </c>
      <c r="D389" s="3" t="s">
        <v>10</v>
      </c>
      <c r="E389" s="3" t="s">
        <v>24</v>
      </c>
      <c r="F389" s="3" t="s">
        <v>30</v>
      </c>
      <c r="G389" s="3" t="s">
        <v>37</v>
      </c>
      <c r="H389" s="3" t="s">
        <v>64</v>
      </c>
      <c r="I389" s="3">
        <v>647.36</v>
      </c>
      <c r="J389" s="3">
        <v>7</v>
      </c>
      <c r="K389" s="3">
        <v>207.8117</v>
      </c>
    </row>
    <row r="390" spans="1:11" ht="15.6" x14ac:dyDescent="0.3">
      <c r="A390" s="7">
        <v>42143</v>
      </c>
      <c r="B390" s="8">
        <f>YEAR(A390)</f>
        <v>2015</v>
      </c>
      <c r="C390" s="8">
        <f>MONTH(A390)</f>
        <v>5</v>
      </c>
      <c r="D390" s="3" t="s">
        <v>16</v>
      </c>
      <c r="E390" s="3" t="s">
        <v>23</v>
      </c>
      <c r="F390" s="3" t="s">
        <v>31</v>
      </c>
      <c r="G390" s="3" t="s">
        <v>43</v>
      </c>
      <c r="H390" s="3" t="s">
        <v>62</v>
      </c>
      <c r="I390" s="3">
        <v>778.5</v>
      </c>
      <c r="J390" s="3">
        <v>8</v>
      </c>
      <c r="K390" s="3">
        <v>-70.848100000000002</v>
      </c>
    </row>
    <row r="391" spans="1:11" ht="15.6" x14ac:dyDescent="0.3">
      <c r="A391" s="7">
        <v>42146</v>
      </c>
      <c r="B391" s="8">
        <f>YEAR(A391)</f>
        <v>2015</v>
      </c>
      <c r="C391" s="8">
        <f>MONTH(A391)</f>
        <v>5</v>
      </c>
      <c r="D391" s="3" t="s">
        <v>18</v>
      </c>
      <c r="E391" s="3" t="s">
        <v>21</v>
      </c>
      <c r="F391" s="3" t="s">
        <v>30</v>
      </c>
      <c r="G391" s="3" t="s">
        <v>33</v>
      </c>
      <c r="H391" s="3" t="s">
        <v>45</v>
      </c>
      <c r="I391" s="3">
        <v>360.76</v>
      </c>
      <c r="J391" s="3">
        <v>1</v>
      </c>
      <c r="K391" s="3">
        <v>-22.619900000000001</v>
      </c>
    </row>
    <row r="392" spans="1:11" ht="15.6" x14ac:dyDescent="0.3">
      <c r="A392" s="7">
        <v>42148</v>
      </c>
      <c r="B392" s="8">
        <f>YEAR(A392)</f>
        <v>2015</v>
      </c>
      <c r="C392" s="8">
        <f>MONTH(A392)</f>
        <v>5</v>
      </c>
      <c r="D392" s="3" t="s">
        <v>11</v>
      </c>
      <c r="E392" s="3" t="s">
        <v>25</v>
      </c>
      <c r="F392" s="3" t="s">
        <v>29</v>
      </c>
      <c r="G392" s="3" t="s">
        <v>32</v>
      </c>
      <c r="H392" s="3" t="s">
        <v>52</v>
      </c>
      <c r="I392" s="3">
        <v>323.83</v>
      </c>
      <c r="J392" s="3">
        <v>2</v>
      </c>
      <c r="K392" s="3">
        <v>-36.623100000000001</v>
      </c>
    </row>
    <row r="393" spans="1:11" ht="15.6" x14ac:dyDescent="0.3">
      <c r="A393" s="7">
        <v>42148</v>
      </c>
      <c r="B393" s="8">
        <f>YEAR(A393)</f>
        <v>2015</v>
      </c>
      <c r="C393" s="8">
        <f>MONTH(A393)</f>
        <v>5</v>
      </c>
      <c r="D393" s="3" t="s">
        <v>9</v>
      </c>
      <c r="E393" s="3" t="s">
        <v>19</v>
      </c>
      <c r="F393" s="3" t="s">
        <v>31</v>
      </c>
      <c r="G393" s="3" t="s">
        <v>36</v>
      </c>
      <c r="H393" s="3" t="s">
        <v>50</v>
      </c>
      <c r="I393" s="3">
        <v>1155.4100000000001</v>
      </c>
      <c r="J393" s="3">
        <v>3</v>
      </c>
      <c r="K393" s="3">
        <v>242.76130000000001</v>
      </c>
    </row>
    <row r="394" spans="1:11" ht="15.6" x14ac:dyDescent="0.3">
      <c r="A394" s="7">
        <v>42150</v>
      </c>
      <c r="B394" s="8">
        <f>YEAR(A394)</f>
        <v>2015</v>
      </c>
      <c r="C394" s="8">
        <f>MONTH(A394)</f>
        <v>5</v>
      </c>
      <c r="D394" s="3" t="s">
        <v>11</v>
      </c>
      <c r="E394" s="3" t="s">
        <v>25</v>
      </c>
      <c r="F394" s="3" t="s">
        <v>30</v>
      </c>
      <c r="G394" s="3" t="s">
        <v>35</v>
      </c>
      <c r="H394" s="3" t="s">
        <v>49</v>
      </c>
      <c r="I394" s="3">
        <v>44.52</v>
      </c>
      <c r="J394" s="3">
        <v>1</v>
      </c>
      <c r="K394" s="3">
        <v>12.8451</v>
      </c>
    </row>
    <row r="395" spans="1:11" ht="15.6" x14ac:dyDescent="0.3">
      <c r="A395" s="7">
        <v>42151</v>
      </c>
      <c r="B395" s="8">
        <f>YEAR(A395)</f>
        <v>2015</v>
      </c>
      <c r="C395" s="8">
        <f>MONTH(A395)</f>
        <v>5</v>
      </c>
      <c r="D395" s="3" t="s">
        <v>14</v>
      </c>
      <c r="E395" s="3" t="s">
        <v>23</v>
      </c>
      <c r="F395" s="3" t="s">
        <v>30</v>
      </c>
      <c r="G395" s="3" t="s">
        <v>35</v>
      </c>
      <c r="H395" s="3" t="s">
        <v>49</v>
      </c>
      <c r="I395" s="3">
        <v>1004.42</v>
      </c>
      <c r="J395" s="3">
        <v>6</v>
      </c>
      <c r="K395" s="3">
        <v>-284.25420000000003</v>
      </c>
    </row>
    <row r="396" spans="1:11" ht="15.6" x14ac:dyDescent="0.3">
      <c r="A396" s="7">
        <v>42151</v>
      </c>
      <c r="B396" s="8">
        <f>YEAR(A396)</f>
        <v>2015</v>
      </c>
      <c r="C396" s="8">
        <f>MONTH(A396)</f>
        <v>5</v>
      </c>
      <c r="D396" s="3" t="s">
        <v>14</v>
      </c>
      <c r="E396" s="3" t="s">
        <v>22</v>
      </c>
      <c r="F396" s="3" t="s">
        <v>29</v>
      </c>
      <c r="G396" s="3" t="s">
        <v>32</v>
      </c>
      <c r="H396" s="3" t="s">
        <v>52</v>
      </c>
      <c r="I396" s="3">
        <v>200.11</v>
      </c>
      <c r="J396" s="3">
        <v>7</v>
      </c>
      <c r="K396" s="3">
        <v>44.288400000000003</v>
      </c>
    </row>
    <row r="397" spans="1:11" ht="15.6" x14ac:dyDescent="0.3">
      <c r="A397" s="7">
        <v>42153</v>
      </c>
      <c r="B397" s="8">
        <f>YEAR(A397)</f>
        <v>2015</v>
      </c>
      <c r="C397" s="8">
        <f>MONTH(A397)</f>
        <v>5</v>
      </c>
      <c r="D397" s="3" t="s">
        <v>14</v>
      </c>
      <c r="E397" s="3" t="s">
        <v>26</v>
      </c>
      <c r="F397" s="3" t="s">
        <v>31</v>
      </c>
      <c r="G397" s="3" t="s">
        <v>43</v>
      </c>
      <c r="H397" s="3" t="s">
        <v>62</v>
      </c>
      <c r="I397" s="3">
        <v>814.93</v>
      </c>
      <c r="J397" s="3">
        <v>3</v>
      </c>
      <c r="K397" s="3">
        <v>58.011699999999998</v>
      </c>
    </row>
    <row r="398" spans="1:11" ht="15.6" x14ac:dyDescent="0.3">
      <c r="A398" s="7">
        <v>42154</v>
      </c>
      <c r="B398" s="8">
        <f>YEAR(A398)</f>
        <v>2015</v>
      </c>
      <c r="C398" s="8">
        <f>MONTH(A398)</f>
        <v>5</v>
      </c>
      <c r="D398" s="3" t="s">
        <v>10</v>
      </c>
      <c r="E398" s="3" t="s">
        <v>27</v>
      </c>
      <c r="F398" s="3" t="s">
        <v>30</v>
      </c>
      <c r="G398" s="3" t="s">
        <v>33</v>
      </c>
      <c r="H398" s="3" t="s">
        <v>55</v>
      </c>
      <c r="I398" s="3">
        <v>751.83</v>
      </c>
      <c r="J398" s="3">
        <v>8</v>
      </c>
      <c r="K398" s="3">
        <v>77.942400000000006</v>
      </c>
    </row>
    <row r="399" spans="1:11" ht="15.6" x14ac:dyDescent="0.3">
      <c r="A399" s="7">
        <v>42156</v>
      </c>
      <c r="B399" s="8">
        <f>YEAR(A399)</f>
        <v>2015</v>
      </c>
      <c r="C399" s="8">
        <f>MONTH(A399)</f>
        <v>6</v>
      </c>
      <c r="D399" s="3" t="s">
        <v>10</v>
      </c>
      <c r="E399" s="3" t="s">
        <v>19</v>
      </c>
      <c r="F399" s="3" t="s">
        <v>31</v>
      </c>
      <c r="G399" s="3" t="s">
        <v>39</v>
      </c>
      <c r="H399" s="3" t="s">
        <v>71</v>
      </c>
      <c r="I399" s="3">
        <v>391.31</v>
      </c>
      <c r="J399" s="3">
        <v>7</v>
      </c>
      <c r="K399" s="3">
        <v>97.312100000000001</v>
      </c>
    </row>
    <row r="400" spans="1:11" ht="15.6" x14ac:dyDescent="0.3">
      <c r="A400" s="7">
        <v>42158</v>
      </c>
      <c r="B400" s="8">
        <f>YEAR(A400)</f>
        <v>2015</v>
      </c>
      <c r="C400" s="8">
        <f>MONTH(A400)</f>
        <v>6</v>
      </c>
      <c r="D400" s="3" t="s">
        <v>12</v>
      </c>
      <c r="E400" s="3" t="s">
        <v>19</v>
      </c>
      <c r="F400" s="3" t="s">
        <v>29</v>
      </c>
      <c r="G400" s="3" t="s">
        <v>40</v>
      </c>
      <c r="H400" s="3" t="s">
        <v>61</v>
      </c>
      <c r="I400" s="3">
        <v>580.07000000000005</v>
      </c>
      <c r="J400" s="3">
        <v>5</v>
      </c>
      <c r="K400" s="3">
        <v>-145.5728</v>
      </c>
    </row>
    <row r="401" spans="1:11" ht="15.6" x14ac:dyDescent="0.3">
      <c r="A401" s="7">
        <v>42160</v>
      </c>
      <c r="B401" s="8">
        <f>YEAR(A401)</f>
        <v>2015</v>
      </c>
      <c r="C401" s="8">
        <f>MONTH(A401)</f>
        <v>6</v>
      </c>
      <c r="D401" s="3" t="s">
        <v>12</v>
      </c>
      <c r="E401" s="3" t="s">
        <v>28</v>
      </c>
      <c r="F401" s="3" t="s">
        <v>30</v>
      </c>
      <c r="G401" s="3" t="s">
        <v>33</v>
      </c>
      <c r="H401" s="3" t="s">
        <v>45</v>
      </c>
      <c r="I401" s="3">
        <v>734.97</v>
      </c>
      <c r="J401" s="3">
        <v>4</v>
      </c>
      <c r="K401" s="3">
        <v>-227.42959999999999</v>
      </c>
    </row>
    <row r="402" spans="1:11" ht="15.6" x14ac:dyDescent="0.3">
      <c r="A402" s="7">
        <v>42160</v>
      </c>
      <c r="B402" s="8">
        <f>YEAR(A402)</f>
        <v>2015</v>
      </c>
      <c r="C402" s="8">
        <f>MONTH(A402)</f>
        <v>6</v>
      </c>
      <c r="D402" s="3" t="s">
        <v>12</v>
      </c>
      <c r="E402" s="3" t="s">
        <v>24</v>
      </c>
      <c r="F402" s="3" t="s">
        <v>31</v>
      </c>
      <c r="G402" s="3" t="s">
        <v>36</v>
      </c>
      <c r="H402" s="3" t="s">
        <v>50</v>
      </c>
      <c r="I402" s="3">
        <v>1036.17</v>
      </c>
      <c r="J402" s="3">
        <v>1</v>
      </c>
      <c r="K402" s="3">
        <v>-33.396900000000002</v>
      </c>
    </row>
    <row r="403" spans="1:11" ht="15.6" x14ac:dyDescent="0.3">
      <c r="A403" s="7">
        <v>42161</v>
      </c>
      <c r="B403" s="8">
        <f>YEAR(A403)</f>
        <v>2015</v>
      </c>
      <c r="C403" s="8">
        <f>MONTH(A403)</f>
        <v>6</v>
      </c>
      <c r="D403" s="3" t="s">
        <v>14</v>
      </c>
      <c r="E403" s="3" t="s">
        <v>19</v>
      </c>
      <c r="F403" s="3" t="s">
        <v>29</v>
      </c>
      <c r="G403" s="3" t="s">
        <v>41</v>
      </c>
      <c r="H403" s="3" t="s">
        <v>65</v>
      </c>
      <c r="I403" s="3">
        <v>949.28</v>
      </c>
      <c r="J403" s="3">
        <v>5</v>
      </c>
      <c r="K403" s="3">
        <v>-165.92179999999999</v>
      </c>
    </row>
    <row r="404" spans="1:11" ht="15.6" x14ac:dyDescent="0.3">
      <c r="A404" s="7">
        <v>42161</v>
      </c>
      <c r="B404" s="8">
        <f>YEAR(A404)</f>
        <v>2015</v>
      </c>
      <c r="C404" s="8">
        <f>MONTH(A404)</f>
        <v>6</v>
      </c>
      <c r="D404" s="3" t="s">
        <v>13</v>
      </c>
      <c r="E404" s="3" t="s">
        <v>22</v>
      </c>
      <c r="F404" s="3" t="s">
        <v>29</v>
      </c>
      <c r="G404" s="3" t="s">
        <v>41</v>
      </c>
      <c r="H404" s="3" t="s">
        <v>65</v>
      </c>
      <c r="I404" s="3">
        <v>662.91</v>
      </c>
      <c r="J404" s="3">
        <v>3</v>
      </c>
      <c r="K404" s="3">
        <v>108.52970000000001</v>
      </c>
    </row>
    <row r="405" spans="1:11" ht="15.6" x14ac:dyDescent="0.3">
      <c r="A405" s="7">
        <v>42164</v>
      </c>
      <c r="B405" s="8">
        <f>YEAR(A405)</f>
        <v>2015</v>
      </c>
      <c r="C405" s="8">
        <f>MONTH(A405)</f>
        <v>6</v>
      </c>
      <c r="D405" s="3" t="s">
        <v>12</v>
      </c>
      <c r="E405" s="3" t="s">
        <v>20</v>
      </c>
      <c r="F405" s="3" t="s">
        <v>29</v>
      </c>
      <c r="G405" s="3" t="s">
        <v>41</v>
      </c>
      <c r="H405" s="3" t="s">
        <v>57</v>
      </c>
      <c r="I405" s="3">
        <v>774.98</v>
      </c>
      <c r="J405" s="3">
        <v>8</v>
      </c>
      <c r="K405" s="3">
        <v>264.65519999999998</v>
      </c>
    </row>
    <row r="406" spans="1:11" ht="15.6" x14ac:dyDescent="0.3">
      <c r="A406" s="7">
        <v>42166</v>
      </c>
      <c r="B406" s="8">
        <f>YEAR(A406)</f>
        <v>2015</v>
      </c>
      <c r="C406" s="8">
        <f>MONTH(A406)</f>
        <v>6</v>
      </c>
      <c r="D406" s="3" t="s">
        <v>12</v>
      </c>
      <c r="E406" s="3" t="s">
        <v>22</v>
      </c>
      <c r="F406" s="3" t="s">
        <v>30</v>
      </c>
      <c r="G406" s="3" t="s">
        <v>37</v>
      </c>
      <c r="H406" s="3" t="s">
        <v>51</v>
      </c>
      <c r="I406" s="3">
        <v>113.77</v>
      </c>
      <c r="J406" s="3">
        <v>2</v>
      </c>
      <c r="K406" s="3">
        <v>0.72070000000000001</v>
      </c>
    </row>
    <row r="407" spans="1:11" ht="15.6" x14ac:dyDescent="0.3">
      <c r="A407" s="7">
        <v>42167</v>
      </c>
      <c r="B407" s="8">
        <f>YEAR(A407)</f>
        <v>2015</v>
      </c>
      <c r="C407" s="8">
        <f>MONTH(A407)</f>
        <v>6</v>
      </c>
      <c r="D407" s="3" t="s">
        <v>18</v>
      </c>
      <c r="E407" s="3" t="s">
        <v>21</v>
      </c>
      <c r="F407" s="3" t="s">
        <v>29</v>
      </c>
      <c r="G407" s="3" t="s">
        <v>40</v>
      </c>
      <c r="H407" s="3" t="s">
        <v>56</v>
      </c>
      <c r="I407" s="3">
        <v>917.22</v>
      </c>
      <c r="J407" s="3">
        <v>8</v>
      </c>
      <c r="K407" s="3">
        <v>297.98750000000001</v>
      </c>
    </row>
    <row r="408" spans="1:11" ht="15.6" x14ac:dyDescent="0.3">
      <c r="A408" s="7">
        <v>42167</v>
      </c>
      <c r="B408" s="8">
        <f>YEAR(A408)</f>
        <v>2015</v>
      </c>
      <c r="C408" s="8">
        <f>MONTH(A408)</f>
        <v>6</v>
      </c>
      <c r="D408" s="3" t="s">
        <v>9</v>
      </c>
      <c r="E408" s="3" t="s">
        <v>23</v>
      </c>
      <c r="F408" s="3" t="s">
        <v>29</v>
      </c>
      <c r="G408" s="3" t="s">
        <v>40</v>
      </c>
      <c r="H408" s="3" t="s">
        <v>56</v>
      </c>
      <c r="I408" s="3">
        <v>230.88</v>
      </c>
      <c r="J408" s="3">
        <v>1</v>
      </c>
      <c r="K408" s="3">
        <v>7.7323000000000004</v>
      </c>
    </row>
    <row r="409" spans="1:11" ht="15.6" x14ac:dyDescent="0.3">
      <c r="A409" s="7">
        <v>42167</v>
      </c>
      <c r="B409" s="8">
        <f>YEAR(A409)</f>
        <v>2015</v>
      </c>
      <c r="C409" s="8">
        <f>MONTH(A409)</f>
        <v>6</v>
      </c>
      <c r="D409" s="3" t="s">
        <v>16</v>
      </c>
      <c r="E409" s="3" t="s">
        <v>22</v>
      </c>
      <c r="F409" s="3" t="s">
        <v>29</v>
      </c>
      <c r="G409" s="3" t="s">
        <v>40</v>
      </c>
      <c r="H409" s="3" t="s">
        <v>56</v>
      </c>
      <c r="I409" s="3">
        <v>198.55</v>
      </c>
      <c r="J409" s="3">
        <v>2</v>
      </c>
      <c r="K409" s="3">
        <v>-38.128399999999999</v>
      </c>
    </row>
    <row r="410" spans="1:11" ht="15.6" x14ac:dyDescent="0.3">
      <c r="A410" s="7">
        <v>42168</v>
      </c>
      <c r="B410" s="8">
        <f>YEAR(A410)</f>
        <v>2015</v>
      </c>
      <c r="C410" s="8">
        <f>MONTH(A410)</f>
        <v>6</v>
      </c>
      <c r="D410" s="3" t="s">
        <v>18</v>
      </c>
      <c r="E410" s="3" t="s">
        <v>28</v>
      </c>
      <c r="F410" s="3" t="s">
        <v>30</v>
      </c>
      <c r="G410" s="3" t="s">
        <v>35</v>
      </c>
      <c r="H410" s="3" t="s">
        <v>49</v>
      </c>
      <c r="I410" s="3">
        <v>1095.8699999999999</v>
      </c>
      <c r="J410" s="3">
        <v>7</v>
      </c>
      <c r="K410" s="3">
        <v>-287.6497</v>
      </c>
    </row>
    <row r="411" spans="1:11" ht="15.6" x14ac:dyDescent="0.3">
      <c r="A411" s="7">
        <v>42168</v>
      </c>
      <c r="B411" s="8">
        <f>YEAR(A411)</f>
        <v>2015</v>
      </c>
      <c r="C411" s="8">
        <f>MONTH(A411)</f>
        <v>6</v>
      </c>
      <c r="D411" s="3" t="s">
        <v>11</v>
      </c>
      <c r="E411" s="3" t="s">
        <v>22</v>
      </c>
      <c r="F411" s="3" t="s">
        <v>31</v>
      </c>
      <c r="G411" s="3" t="s">
        <v>34</v>
      </c>
      <c r="H411" s="3" t="s">
        <v>46</v>
      </c>
      <c r="I411" s="3">
        <v>1146.95</v>
      </c>
      <c r="J411" s="3">
        <v>5</v>
      </c>
      <c r="K411" s="3">
        <v>-305.72280000000001</v>
      </c>
    </row>
    <row r="412" spans="1:11" ht="15.6" x14ac:dyDescent="0.3">
      <c r="A412" s="7">
        <v>42168</v>
      </c>
      <c r="B412" s="8">
        <f>YEAR(A412)</f>
        <v>2015</v>
      </c>
      <c r="C412" s="8">
        <f>MONTH(A412)</f>
        <v>6</v>
      </c>
      <c r="D412" s="3" t="s">
        <v>15</v>
      </c>
      <c r="E412" s="3" t="s">
        <v>26</v>
      </c>
      <c r="F412" s="3" t="s">
        <v>31</v>
      </c>
      <c r="G412" s="3" t="s">
        <v>38</v>
      </c>
      <c r="H412" s="3" t="s">
        <v>53</v>
      </c>
      <c r="I412" s="3">
        <v>755.46</v>
      </c>
      <c r="J412" s="3">
        <v>8</v>
      </c>
      <c r="K412" s="3">
        <v>249.8261</v>
      </c>
    </row>
    <row r="413" spans="1:11" ht="15.6" x14ac:dyDescent="0.3">
      <c r="A413" s="7">
        <v>42170</v>
      </c>
      <c r="B413" s="8">
        <f>YEAR(A413)</f>
        <v>2015</v>
      </c>
      <c r="C413" s="8">
        <f>MONTH(A413)</f>
        <v>6</v>
      </c>
      <c r="D413" s="3" t="s">
        <v>10</v>
      </c>
      <c r="E413" s="3" t="s">
        <v>28</v>
      </c>
      <c r="F413" s="3" t="s">
        <v>30</v>
      </c>
      <c r="G413" s="3" t="s">
        <v>33</v>
      </c>
      <c r="H413" s="3" t="s">
        <v>55</v>
      </c>
      <c r="I413" s="3">
        <v>903.37</v>
      </c>
      <c r="J413" s="3">
        <v>5</v>
      </c>
      <c r="K413" s="3">
        <v>157.51179999999999</v>
      </c>
    </row>
    <row r="414" spans="1:11" ht="15.6" x14ac:dyDescent="0.3">
      <c r="A414" s="7">
        <v>42170</v>
      </c>
      <c r="B414" s="8">
        <f>YEAR(A414)</f>
        <v>2015</v>
      </c>
      <c r="C414" s="8">
        <f>MONTH(A414)</f>
        <v>6</v>
      </c>
      <c r="D414" s="3" t="s">
        <v>14</v>
      </c>
      <c r="E414" s="3" t="s">
        <v>26</v>
      </c>
      <c r="F414" s="3" t="s">
        <v>29</v>
      </c>
      <c r="G414" s="3" t="s">
        <v>41</v>
      </c>
      <c r="H414" s="3" t="s">
        <v>65</v>
      </c>
      <c r="I414" s="3">
        <v>128.43</v>
      </c>
      <c r="J414" s="3">
        <v>2</v>
      </c>
      <c r="K414" s="3">
        <v>-44.589700000000001</v>
      </c>
    </row>
    <row r="415" spans="1:11" ht="15.6" x14ac:dyDescent="0.3">
      <c r="A415" s="7">
        <v>42171</v>
      </c>
      <c r="B415" s="8">
        <f>YEAR(A415)</f>
        <v>2015</v>
      </c>
      <c r="C415" s="8">
        <f>MONTH(A415)</f>
        <v>6</v>
      </c>
      <c r="D415" s="3" t="s">
        <v>9</v>
      </c>
      <c r="E415" s="3" t="s">
        <v>27</v>
      </c>
      <c r="F415" s="3" t="s">
        <v>29</v>
      </c>
      <c r="G415" s="3" t="s">
        <v>40</v>
      </c>
      <c r="H415" s="3" t="s">
        <v>61</v>
      </c>
      <c r="I415" s="3">
        <v>199.6</v>
      </c>
      <c r="J415" s="3">
        <v>1</v>
      </c>
      <c r="K415" s="3">
        <v>-57.963299999999997</v>
      </c>
    </row>
    <row r="416" spans="1:11" ht="15.6" x14ac:dyDescent="0.3">
      <c r="A416" s="7">
        <v>42172</v>
      </c>
      <c r="B416" s="8">
        <f>YEAR(A416)</f>
        <v>2015</v>
      </c>
      <c r="C416" s="8">
        <f>MONTH(A416)</f>
        <v>6</v>
      </c>
      <c r="D416" s="3" t="s">
        <v>12</v>
      </c>
      <c r="E416" s="3" t="s">
        <v>19</v>
      </c>
      <c r="F416" s="3" t="s">
        <v>31</v>
      </c>
      <c r="G416" s="3" t="s">
        <v>38</v>
      </c>
      <c r="H416" s="3" t="s">
        <v>53</v>
      </c>
      <c r="I416" s="3">
        <v>183.36</v>
      </c>
      <c r="J416" s="3">
        <v>6</v>
      </c>
      <c r="K416" s="3">
        <v>-49.948700000000002</v>
      </c>
    </row>
    <row r="417" spans="1:11" ht="15.6" x14ac:dyDescent="0.3">
      <c r="A417" s="7">
        <v>42174</v>
      </c>
      <c r="B417" s="8">
        <f>YEAR(A417)</f>
        <v>2015</v>
      </c>
      <c r="C417" s="8">
        <f>MONTH(A417)</f>
        <v>6</v>
      </c>
      <c r="D417" s="3" t="s">
        <v>15</v>
      </c>
      <c r="E417" s="3" t="s">
        <v>22</v>
      </c>
      <c r="F417" s="3" t="s">
        <v>30</v>
      </c>
      <c r="G417" s="3" t="s">
        <v>35</v>
      </c>
      <c r="H417" s="3" t="s">
        <v>59</v>
      </c>
      <c r="I417" s="3">
        <v>610.07000000000005</v>
      </c>
      <c r="J417" s="3">
        <v>6</v>
      </c>
      <c r="K417" s="3">
        <v>-51.457599999999999</v>
      </c>
    </row>
    <row r="418" spans="1:11" ht="15.6" x14ac:dyDescent="0.3">
      <c r="A418" s="7">
        <v>42175</v>
      </c>
      <c r="B418" s="8">
        <f>YEAR(A418)</f>
        <v>2015</v>
      </c>
      <c r="C418" s="8">
        <f>MONTH(A418)</f>
        <v>6</v>
      </c>
      <c r="D418" s="3" t="s">
        <v>16</v>
      </c>
      <c r="E418" s="3" t="s">
        <v>26</v>
      </c>
      <c r="F418" s="3" t="s">
        <v>29</v>
      </c>
      <c r="G418" s="3" t="s">
        <v>40</v>
      </c>
      <c r="H418" s="3" t="s">
        <v>61</v>
      </c>
      <c r="I418" s="3">
        <v>786.15</v>
      </c>
      <c r="J418" s="3">
        <v>4</v>
      </c>
      <c r="K418" s="3">
        <v>-277.83069999999998</v>
      </c>
    </row>
    <row r="419" spans="1:11" ht="15.6" x14ac:dyDescent="0.3">
      <c r="A419" s="7">
        <v>42175</v>
      </c>
      <c r="B419" s="8">
        <f>YEAR(A419)</f>
        <v>2015</v>
      </c>
      <c r="C419" s="8">
        <f>MONTH(A419)</f>
        <v>6</v>
      </c>
      <c r="D419" s="3" t="s">
        <v>9</v>
      </c>
      <c r="E419" s="3" t="s">
        <v>25</v>
      </c>
      <c r="F419" s="3" t="s">
        <v>31</v>
      </c>
      <c r="G419" s="3" t="s">
        <v>38</v>
      </c>
      <c r="H419" s="3" t="s">
        <v>53</v>
      </c>
      <c r="I419" s="3">
        <v>1026.7</v>
      </c>
      <c r="J419" s="3">
        <v>7</v>
      </c>
      <c r="K419" s="3">
        <v>24.130199999999999</v>
      </c>
    </row>
    <row r="420" spans="1:11" ht="15.6" x14ac:dyDescent="0.3">
      <c r="A420" s="7">
        <v>42176</v>
      </c>
      <c r="B420" s="8">
        <f>YEAR(A420)</f>
        <v>2015</v>
      </c>
      <c r="C420" s="8">
        <f>MONTH(A420)</f>
        <v>6</v>
      </c>
      <c r="D420" s="3" t="s">
        <v>18</v>
      </c>
      <c r="E420" s="3" t="s">
        <v>20</v>
      </c>
      <c r="F420" s="3" t="s">
        <v>30</v>
      </c>
      <c r="G420" s="3" t="s">
        <v>42</v>
      </c>
      <c r="H420" s="3" t="s">
        <v>69</v>
      </c>
      <c r="I420" s="3">
        <v>262.81</v>
      </c>
      <c r="J420" s="3">
        <v>1</v>
      </c>
      <c r="K420" s="3">
        <v>81.867900000000006</v>
      </c>
    </row>
    <row r="421" spans="1:11" ht="15.6" x14ac:dyDescent="0.3">
      <c r="A421" s="7">
        <v>42179</v>
      </c>
      <c r="B421" s="8">
        <f>YEAR(A421)</f>
        <v>2015</v>
      </c>
      <c r="C421" s="8">
        <f>MONTH(A421)</f>
        <v>6</v>
      </c>
      <c r="D421" s="3" t="s">
        <v>15</v>
      </c>
      <c r="E421" s="3" t="s">
        <v>20</v>
      </c>
      <c r="F421" s="3" t="s">
        <v>29</v>
      </c>
      <c r="G421" s="3" t="s">
        <v>40</v>
      </c>
      <c r="H421" s="3" t="s">
        <v>56</v>
      </c>
      <c r="I421" s="3">
        <v>696.46</v>
      </c>
      <c r="J421" s="3">
        <v>10</v>
      </c>
      <c r="K421" s="3">
        <v>-187.77440000000001</v>
      </c>
    </row>
    <row r="422" spans="1:11" ht="15.6" x14ac:dyDescent="0.3">
      <c r="A422" s="7">
        <v>42180</v>
      </c>
      <c r="B422" s="8">
        <f>YEAR(A422)</f>
        <v>2015</v>
      </c>
      <c r="C422" s="8">
        <f>MONTH(A422)</f>
        <v>6</v>
      </c>
      <c r="D422" s="3" t="s">
        <v>10</v>
      </c>
      <c r="E422" s="3" t="s">
        <v>22</v>
      </c>
      <c r="F422" s="3" t="s">
        <v>29</v>
      </c>
      <c r="G422" s="3" t="s">
        <v>40</v>
      </c>
      <c r="H422" s="3" t="s">
        <v>56</v>
      </c>
      <c r="I422" s="3">
        <v>703.24</v>
      </c>
      <c r="J422" s="3">
        <v>7</v>
      </c>
      <c r="K422" s="3">
        <v>244.29419999999999</v>
      </c>
    </row>
    <row r="423" spans="1:11" ht="15.6" x14ac:dyDescent="0.3">
      <c r="A423" s="7">
        <v>42181</v>
      </c>
      <c r="B423" s="8">
        <f>YEAR(A423)</f>
        <v>2015</v>
      </c>
      <c r="C423" s="8">
        <f>MONTH(A423)</f>
        <v>6</v>
      </c>
      <c r="D423" s="3" t="s">
        <v>18</v>
      </c>
      <c r="E423" s="3" t="s">
        <v>21</v>
      </c>
      <c r="F423" s="3" t="s">
        <v>31</v>
      </c>
      <c r="G423" s="3" t="s">
        <v>38</v>
      </c>
      <c r="H423" s="3" t="s">
        <v>53</v>
      </c>
      <c r="I423" s="3">
        <v>734.04</v>
      </c>
      <c r="J423" s="3">
        <v>4</v>
      </c>
      <c r="K423" s="3">
        <v>233.42699999999999</v>
      </c>
    </row>
    <row r="424" spans="1:11" ht="15.6" x14ac:dyDescent="0.3">
      <c r="A424" s="7">
        <v>42182</v>
      </c>
      <c r="B424" s="8">
        <f>YEAR(A424)</f>
        <v>2015</v>
      </c>
      <c r="C424" s="8">
        <f>MONTH(A424)</f>
        <v>6</v>
      </c>
      <c r="D424" s="3" t="s">
        <v>15</v>
      </c>
      <c r="E424" s="3" t="s">
        <v>24</v>
      </c>
      <c r="F424" s="3" t="s">
        <v>31</v>
      </c>
      <c r="G424" s="3" t="s">
        <v>34</v>
      </c>
      <c r="H424" s="3" t="s">
        <v>47</v>
      </c>
      <c r="I424" s="3">
        <v>1023.72</v>
      </c>
      <c r="J424" s="3">
        <v>2</v>
      </c>
      <c r="K424" s="3">
        <v>-288.47250000000003</v>
      </c>
    </row>
    <row r="425" spans="1:11" ht="15.6" x14ac:dyDescent="0.3">
      <c r="A425" s="7">
        <v>42182</v>
      </c>
      <c r="B425" s="8">
        <f>YEAR(A425)</f>
        <v>2015</v>
      </c>
      <c r="C425" s="8">
        <f>MONTH(A425)</f>
        <v>6</v>
      </c>
      <c r="D425" s="3" t="s">
        <v>11</v>
      </c>
      <c r="E425" s="3" t="s">
        <v>28</v>
      </c>
      <c r="F425" s="3" t="s">
        <v>31</v>
      </c>
      <c r="G425" s="3" t="s">
        <v>43</v>
      </c>
      <c r="H425" s="3" t="s">
        <v>62</v>
      </c>
      <c r="I425" s="3">
        <v>443.66</v>
      </c>
      <c r="J425" s="3">
        <v>10</v>
      </c>
      <c r="K425" s="3">
        <v>-94.325400000000002</v>
      </c>
    </row>
    <row r="426" spans="1:11" ht="15.6" x14ac:dyDescent="0.3">
      <c r="A426" s="7">
        <v>42185</v>
      </c>
      <c r="B426" s="8">
        <f>YEAR(A426)</f>
        <v>2015</v>
      </c>
      <c r="C426" s="8">
        <f>MONTH(A426)</f>
        <v>6</v>
      </c>
      <c r="D426" s="3" t="s">
        <v>17</v>
      </c>
      <c r="E426" s="3" t="s">
        <v>21</v>
      </c>
      <c r="F426" s="3" t="s">
        <v>30</v>
      </c>
      <c r="G426" s="3" t="s">
        <v>35</v>
      </c>
      <c r="H426" s="3" t="s">
        <v>49</v>
      </c>
      <c r="I426" s="3">
        <v>933.24</v>
      </c>
      <c r="J426" s="3">
        <v>6</v>
      </c>
      <c r="K426" s="3">
        <v>105.9726</v>
      </c>
    </row>
    <row r="427" spans="1:11" ht="15.6" x14ac:dyDescent="0.3">
      <c r="A427" s="7">
        <v>42186</v>
      </c>
      <c r="B427" s="8">
        <f>YEAR(A427)</f>
        <v>2015</v>
      </c>
      <c r="C427" s="8">
        <f>MONTH(A427)</f>
        <v>7</v>
      </c>
      <c r="D427" s="3" t="s">
        <v>13</v>
      </c>
      <c r="E427" s="3" t="s">
        <v>25</v>
      </c>
      <c r="F427" s="3" t="s">
        <v>30</v>
      </c>
      <c r="G427" s="3" t="s">
        <v>42</v>
      </c>
      <c r="H427" s="3" t="s">
        <v>69</v>
      </c>
      <c r="I427" s="3">
        <v>901.47</v>
      </c>
      <c r="J427" s="3">
        <v>3</v>
      </c>
      <c r="K427" s="3">
        <v>304.38069999999999</v>
      </c>
    </row>
    <row r="428" spans="1:11" ht="15.6" x14ac:dyDescent="0.3">
      <c r="A428" s="7">
        <v>42187</v>
      </c>
      <c r="B428" s="8">
        <f>YEAR(A428)</f>
        <v>2015</v>
      </c>
      <c r="C428" s="8">
        <f>MONTH(A428)</f>
        <v>7</v>
      </c>
      <c r="D428" s="3" t="s">
        <v>13</v>
      </c>
      <c r="E428" s="3" t="s">
        <v>21</v>
      </c>
      <c r="F428" s="3" t="s">
        <v>29</v>
      </c>
      <c r="G428" s="3" t="s">
        <v>40</v>
      </c>
      <c r="H428" s="3" t="s">
        <v>61</v>
      </c>
      <c r="I428" s="3">
        <v>39.6</v>
      </c>
      <c r="J428" s="3">
        <v>5</v>
      </c>
      <c r="K428" s="3">
        <v>5.0301999999999998</v>
      </c>
    </row>
    <row r="429" spans="1:11" ht="15.6" x14ac:dyDescent="0.3">
      <c r="A429" s="7">
        <v>42188</v>
      </c>
      <c r="B429" s="8">
        <f>YEAR(A429)</f>
        <v>2015</v>
      </c>
      <c r="C429" s="8">
        <f>MONTH(A429)</f>
        <v>7</v>
      </c>
      <c r="D429" s="3" t="s">
        <v>11</v>
      </c>
      <c r="E429" s="3" t="s">
        <v>24</v>
      </c>
      <c r="F429" s="3" t="s">
        <v>30</v>
      </c>
      <c r="G429" s="3" t="s">
        <v>37</v>
      </c>
      <c r="H429" s="3" t="s">
        <v>51</v>
      </c>
      <c r="I429" s="3">
        <v>84.1</v>
      </c>
      <c r="J429" s="3">
        <v>10</v>
      </c>
      <c r="K429" s="3">
        <v>21.636900000000001</v>
      </c>
    </row>
    <row r="430" spans="1:11" ht="15.6" x14ac:dyDescent="0.3">
      <c r="A430" s="7">
        <v>42188</v>
      </c>
      <c r="B430" s="8">
        <f>YEAR(A430)</f>
        <v>2015</v>
      </c>
      <c r="C430" s="8">
        <f>MONTH(A430)</f>
        <v>7</v>
      </c>
      <c r="D430" s="3" t="s">
        <v>16</v>
      </c>
      <c r="E430" s="3" t="s">
        <v>24</v>
      </c>
      <c r="F430" s="3" t="s">
        <v>29</v>
      </c>
      <c r="G430" s="3" t="s">
        <v>41</v>
      </c>
      <c r="H430" s="3" t="s">
        <v>57</v>
      </c>
      <c r="I430" s="3">
        <v>189.29</v>
      </c>
      <c r="J430" s="3">
        <v>3</v>
      </c>
      <c r="K430" s="3">
        <v>29.291</v>
      </c>
    </row>
    <row r="431" spans="1:11" ht="15.6" x14ac:dyDescent="0.3">
      <c r="A431" s="7">
        <v>42189</v>
      </c>
      <c r="B431" s="8">
        <f>YEAR(A431)</f>
        <v>2015</v>
      </c>
      <c r="C431" s="8">
        <f>MONTH(A431)</f>
        <v>7</v>
      </c>
      <c r="D431" s="3" t="s">
        <v>9</v>
      </c>
      <c r="E431" s="3" t="s">
        <v>21</v>
      </c>
      <c r="F431" s="3" t="s">
        <v>29</v>
      </c>
      <c r="G431" s="3" t="s">
        <v>41</v>
      </c>
      <c r="H431" s="3" t="s">
        <v>57</v>
      </c>
      <c r="I431" s="3">
        <v>455.72</v>
      </c>
      <c r="J431" s="3">
        <v>10</v>
      </c>
      <c r="K431" s="3">
        <v>23.784700000000001</v>
      </c>
    </row>
    <row r="432" spans="1:11" ht="15.6" x14ac:dyDescent="0.3">
      <c r="A432" s="7">
        <v>42191</v>
      </c>
      <c r="B432" s="8">
        <f>YEAR(A432)</f>
        <v>2015</v>
      </c>
      <c r="C432" s="8">
        <f>MONTH(A432)</f>
        <v>7</v>
      </c>
      <c r="D432" s="3" t="s">
        <v>14</v>
      </c>
      <c r="E432" s="3" t="s">
        <v>25</v>
      </c>
      <c r="F432" s="3" t="s">
        <v>31</v>
      </c>
      <c r="G432" s="3" t="s">
        <v>36</v>
      </c>
      <c r="H432" s="3" t="s">
        <v>50</v>
      </c>
      <c r="I432" s="3">
        <v>875.92</v>
      </c>
      <c r="J432" s="3">
        <v>10</v>
      </c>
      <c r="K432" s="3">
        <v>73.722800000000007</v>
      </c>
    </row>
    <row r="433" spans="1:11" ht="15.6" x14ac:dyDescent="0.3">
      <c r="A433" s="7">
        <v>42191</v>
      </c>
      <c r="B433" s="8">
        <f>YEAR(A433)</f>
        <v>2015</v>
      </c>
      <c r="C433" s="8">
        <f>MONTH(A433)</f>
        <v>7</v>
      </c>
      <c r="D433" s="3" t="s">
        <v>14</v>
      </c>
      <c r="E433" s="3" t="s">
        <v>24</v>
      </c>
      <c r="F433" s="3" t="s">
        <v>29</v>
      </c>
      <c r="G433" s="3" t="s">
        <v>41</v>
      </c>
      <c r="H433" s="3" t="s">
        <v>57</v>
      </c>
      <c r="I433" s="3">
        <v>783.65</v>
      </c>
      <c r="J433" s="3">
        <v>9</v>
      </c>
      <c r="K433" s="3">
        <v>-301.67450000000002</v>
      </c>
    </row>
    <row r="434" spans="1:11" ht="15.6" x14ac:dyDescent="0.3">
      <c r="A434" s="7">
        <v>42191</v>
      </c>
      <c r="B434" s="8">
        <f>YEAR(A434)</f>
        <v>2015</v>
      </c>
      <c r="C434" s="8">
        <f>MONTH(A434)</f>
        <v>7</v>
      </c>
      <c r="D434" s="3" t="s">
        <v>17</v>
      </c>
      <c r="E434" s="3" t="s">
        <v>23</v>
      </c>
      <c r="F434" s="3" t="s">
        <v>30</v>
      </c>
      <c r="G434" s="3" t="s">
        <v>37</v>
      </c>
      <c r="H434" s="3" t="s">
        <v>64</v>
      </c>
      <c r="I434" s="3">
        <v>568.26</v>
      </c>
      <c r="J434" s="3">
        <v>10</v>
      </c>
      <c r="K434" s="3">
        <v>-81.078000000000003</v>
      </c>
    </row>
    <row r="435" spans="1:11" ht="15.6" x14ac:dyDescent="0.3">
      <c r="A435" s="7">
        <v>42191</v>
      </c>
      <c r="B435" s="8">
        <f>YEAR(A435)</f>
        <v>2015</v>
      </c>
      <c r="C435" s="8">
        <f>MONTH(A435)</f>
        <v>7</v>
      </c>
      <c r="D435" s="3" t="s">
        <v>18</v>
      </c>
      <c r="E435" s="3" t="s">
        <v>21</v>
      </c>
      <c r="F435" s="3" t="s">
        <v>29</v>
      </c>
      <c r="G435" s="3" t="s">
        <v>32</v>
      </c>
      <c r="H435" s="3" t="s">
        <v>44</v>
      </c>
      <c r="I435" s="3">
        <v>77.459999999999994</v>
      </c>
      <c r="J435" s="3">
        <v>8</v>
      </c>
      <c r="K435" s="3">
        <v>1.1496</v>
      </c>
    </row>
    <row r="436" spans="1:11" ht="15.6" x14ac:dyDescent="0.3">
      <c r="A436" s="7">
        <v>42192</v>
      </c>
      <c r="B436" s="8">
        <f>YEAR(A436)</f>
        <v>2015</v>
      </c>
      <c r="C436" s="8">
        <f>MONTH(A436)</f>
        <v>7</v>
      </c>
      <c r="D436" s="3" t="s">
        <v>12</v>
      </c>
      <c r="E436" s="3" t="s">
        <v>26</v>
      </c>
      <c r="F436" s="3" t="s">
        <v>30</v>
      </c>
      <c r="G436" s="3" t="s">
        <v>35</v>
      </c>
      <c r="H436" s="3" t="s">
        <v>49</v>
      </c>
      <c r="I436" s="3">
        <v>965.88</v>
      </c>
      <c r="J436" s="3">
        <v>9</v>
      </c>
      <c r="K436" s="3">
        <v>-73.248400000000004</v>
      </c>
    </row>
    <row r="437" spans="1:11" ht="15.6" x14ac:dyDescent="0.3">
      <c r="A437" s="7">
        <v>42192</v>
      </c>
      <c r="B437" s="8">
        <f>YEAR(A437)</f>
        <v>2015</v>
      </c>
      <c r="C437" s="8">
        <f>MONTH(A437)</f>
        <v>7</v>
      </c>
      <c r="D437" s="3" t="s">
        <v>15</v>
      </c>
      <c r="E437" s="3" t="s">
        <v>21</v>
      </c>
      <c r="F437" s="3" t="s">
        <v>30</v>
      </c>
      <c r="G437" s="3" t="s">
        <v>37</v>
      </c>
      <c r="H437" s="3" t="s">
        <v>51</v>
      </c>
      <c r="I437" s="3">
        <v>839.18</v>
      </c>
      <c r="J437" s="3">
        <v>10</v>
      </c>
      <c r="K437" s="3">
        <v>5.7285000000000004</v>
      </c>
    </row>
    <row r="438" spans="1:11" ht="15.6" x14ac:dyDescent="0.3">
      <c r="A438" s="7">
        <v>42195</v>
      </c>
      <c r="B438" s="8">
        <f>YEAR(A438)</f>
        <v>2015</v>
      </c>
      <c r="C438" s="8">
        <f>MONTH(A438)</f>
        <v>7</v>
      </c>
      <c r="D438" s="3" t="s">
        <v>18</v>
      </c>
      <c r="E438" s="3" t="s">
        <v>19</v>
      </c>
      <c r="F438" s="3" t="s">
        <v>30</v>
      </c>
      <c r="G438" s="3" t="s">
        <v>33</v>
      </c>
      <c r="H438" s="3" t="s">
        <v>60</v>
      </c>
      <c r="I438" s="3">
        <v>797.26</v>
      </c>
      <c r="J438" s="3">
        <v>6</v>
      </c>
      <c r="K438" s="3">
        <v>197.88929999999999</v>
      </c>
    </row>
    <row r="439" spans="1:11" ht="15.6" x14ac:dyDescent="0.3">
      <c r="A439" s="7">
        <v>42198</v>
      </c>
      <c r="B439" s="8">
        <f>YEAR(A439)</f>
        <v>2015</v>
      </c>
      <c r="C439" s="8">
        <f>MONTH(A439)</f>
        <v>7</v>
      </c>
      <c r="D439" s="3" t="s">
        <v>18</v>
      </c>
      <c r="E439" s="3" t="s">
        <v>25</v>
      </c>
      <c r="F439" s="3" t="s">
        <v>31</v>
      </c>
      <c r="G439" s="3" t="s">
        <v>43</v>
      </c>
      <c r="H439" s="3" t="s">
        <v>62</v>
      </c>
      <c r="I439" s="3">
        <v>436.59</v>
      </c>
      <c r="J439" s="3">
        <v>6</v>
      </c>
      <c r="K439" s="3">
        <v>-158.68469999999999</v>
      </c>
    </row>
    <row r="440" spans="1:11" ht="15.6" x14ac:dyDescent="0.3">
      <c r="A440" s="7">
        <v>42199</v>
      </c>
      <c r="B440" s="8">
        <f>YEAR(A440)</f>
        <v>2015</v>
      </c>
      <c r="C440" s="8">
        <f>MONTH(A440)</f>
        <v>7</v>
      </c>
      <c r="D440" s="3" t="s">
        <v>14</v>
      </c>
      <c r="E440" s="3" t="s">
        <v>23</v>
      </c>
      <c r="F440" s="3" t="s">
        <v>31</v>
      </c>
      <c r="G440" s="3" t="s">
        <v>39</v>
      </c>
      <c r="H440" s="3" t="s">
        <v>71</v>
      </c>
      <c r="I440" s="3">
        <v>153.75</v>
      </c>
      <c r="J440" s="3">
        <v>6</v>
      </c>
      <c r="K440" s="3">
        <v>-11.114000000000001</v>
      </c>
    </row>
    <row r="441" spans="1:11" ht="15.6" x14ac:dyDescent="0.3">
      <c r="A441" s="7">
        <v>42199</v>
      </c>
      <c r="B441" s="8">
        <f>YEAR(A441)</f>
        <v>2015</v>
      </c>
      <c r="C441" s="8">
        <f>MONTH(A441)</f>
        <v>7</v>
      </c>
      <c r="D441" s="3" t="s">
        <v>17</v>
      </c>
      <c r="E441" s="3" t="s">
        <v>26</v>
      </c>
      <c r="F441" s="3" t="s">
        <v>31</v>
      </c>
      <c r="G441" s="3" t="s">
        <v>34</v>
      </c>
      <c r="H441" s="3" t="s">
        <v>46</v>
      </c>
      <c r="I441" s="3">
        <v>941.34</v>
      </c>
      <c r="J441" s="3">
        <v>8</v>
      </c>
      <c r="K441" s="3">
        <v>-30.1675</v>
      </c>
    </row>
    <row r="442" spans="1:11" ht="15.6" x14ac:dyDescent="0.3">
      <c r="A442" s="7">
        <v>42200</v>
      </c>
      <c r="B442" s="8">
        <f>YEAR(A442)</f>
        <v>2015</v>
      </c>
      <c r="C442" s="8">
        <f>MONTH(A442)</f>
        <v>7</v>
      </c>
      <c r="D442" s="3" t="s">
        <v>15</v>
      </c>
      <c r="E442" s="3" t="s">
        <v>22</v>
      </c>
      <c r="F442" s="3" t="s">
        <v>31</v>
      </c>
      <c r="G442" s="3" t="s">
        <v>34</v>
      </c>
      <c r="H442" s="3" t="s">
        <v>47</v>
      </c>
      <c r="I442" s="3">
        <v>186.59</v>
      </c>
      <c r="J442" s="3">
        <v>4</v>
      </c>
      <c r="K442" s="3">
        <v>-59.694099999999999</v>
      </c>
    </row>
    <row r="443" spans="1:11" ht="15.6" x14ac:dyDescent="0.3">
      <c r="A443" s="7">
        <v>42203</v>
      </c>
      <c r="B443" s="8">
        <f>YEAR(A443)</f>
        <v>2015</v>
      </c>
      <c r="C443" s="8">
        <f>MONTH(A443)</f>
        <v>7</v>
      </c>
      <c r="D443" s="3" t="s">
        <v>12</v>
      </c>
      <c r="E443" s="3" t="s">
        <v>21</v>
      </c>
      <c r="F443" s="3" t="s">
        <v>31</v>
      </c>
      <c r="G443" s="3" t="s">
        <v>34</v>
      </c>
      <c r="H443" s="3" t="s">
        <v>47</v>
      </c>
      <c r="I443" s="3">
        <v>1041.8599999999999</v>
      </c>
      <c r="J443" s="3">
        <v>10</v>
      </c>
      <c r="K443" s="3">
        <v>297.82139999999998</v>
      </c>
    </row>
    <row r="444" spans="1:11" ht="15.6" x14ac:dyDescent="0.3">
      <c r="A444" s="7">
        <v>42203</v>
      </c>
      <c r="B444" s="8">
        <f>YEAR(A444)</f>
        <v>2015</v>
      </c>
      <c r="C444" s="8">
        <f>MONTH(A444)</f>
        <v>7</v>
      </c>
      <c r="D444" s="3" t="s">
        <v>9</v>
      </c>
      <c r="E444" s="3" t="s">
        <v>23</v>
      </c>
      <c r="F444" s="3" t="s">
        <v>31</v>
      </c>
      <c r="G444" s="3" t="s">
        <v>43</v>
      </c>
      <c r="H444" s="3" t="s">
        <v>68</v>
      </c>
      <c r="I444" s="3">
        <v>1030.1400000000001</v>
      </c>
      <c r="J444" s="3">
        <v>1</v>
      </c>
      <c r="K444" s="3">
        <v>160.77590000000001</v>
      </c>
    </row>
    <row r="445" spans="1:11" ht="15.6" x14ac:dyDescent="0.3">
      <c r="A445" s="7">
        <v>42205</v>
      </c>
      <c r="B445" s="8">
        <f>YEAR(A445)</f>
        <v>2015</v>
      </c>
      <c r="C445" s="8">
        <f>MONTH(A445)</f>
        <v>7</v>
      </c>
      <c r="D445" s="3" t="s">
        <v>14</v>
      </c>
      <c r="E445" s="3" t="s">
        <v>27</v>
      </c>
      <c r="F445" s="3" t="s">
        <v>31</v>
      </c>
      <c r="G445" s="3" t="s">
        <v>34</v>
      </c>
      <c r="H445" s="3" t="s">
        <v>47</v>
      </c>
      <c r="I445" s="3">
        <v>669.17</v>
      </c>
      <c r="J445" s="3">
        <v>9</v>
      </c>
      <c r="K445" s="3">
        <v>208.14330000000001</v>
      </c>
    </row>
    <row r="446" spans="1:11" ht="15.6" x14ac:dyDescent="0.3">
      <c r="A446" s="7">
        <v>42205</v>
      </c>
      <c r="B446" s="8">
        <f>YEAR(A446)</f>
        <v>2015</v>
      </c>
      <c r="C446" s="8">
        <f>MONTH(A446)</f>
        <v>7</v>
      </c>
      <c r="D446" s="3" t="s">
        <v>18</v>
      </c>
      <c r="E446" s="3" t="s">
        <v>25</v>
      </c>
      <c r="F446" s="3" t="s">
        <v>30</v>
      </c>
      <c r="G446" s="3" t="s">
        <v>35</v>
      </c>
      <c r="H446" s="3" t="s">
        <v>66</v>
      </c>
      <c r="I446" s="3">
        <v>508.22</v>
      </c>
      <c r="J446" s="3">
        <v>8</v>
      </c>
      <c r="K446" s="3">
        <v>95.037099999999995</v>
      </c>
    </row>
    <row r="447" spans="1:11" ht="15.6" x14ac:dyDescent="0.3">
      <c r="A447" s="7">
        <v>42206</v>
      </c>
      <c r="B447" s="8">
        <f>YEAR(A447)</f>
        <v>2015</v>
      </c>
      <c r="C447" s="8">
        <f>MONTH(A447)</f>
        <v>7</v>
      </c>
      <c r="D447" s="3" t="s">
        <v>10</v>
      </c>
      <c r="E447" s="3" t="s">
        <v>21</v>
      </c>
      <c r="F447" s="3" t="s">
        <v>29</v>
      </c>
      <c r="G447" s="3" t="s">
        <v>40</v>
      </c>
      <c r="H447" s="3" t="s">
        <v>61</v>
      </c>
      <c r="I447" s="3">
        <v>1112.29</v>
      </c>
      <c r="J447" s="3">
        <v>2</v>
      </c>
      <c r="K447" s="3">
        <v>-345.98790000000002</v>
      </c>
    </row>
    <row r="448" spans="1:11" ht="15.6" x14ac:dyDescent="0.3">
      <c r="A448" s="7">
        <v>42207</v>
      </c>
      <c r="B448" s="8">
        <f>YEAR(A448)</f>
        <v>2015</v>
      </c>
      <c r="C448" s="8">
        <f>MONTH(A448)</f>
        <v>7</v>
      </c>
      <c r="D448" s="3" t="s">
        <v>10</v>
      </c>
      <c r="E448" s="3" t="s">
        <v>20</v>
      </c>
      <c r="F448" s="3" t="s">
        <v>30</v>
      </c>
      <c r="G448" s="3" t="s">
        <v>33</v>
      </c>
      <c r="H448" s="3" t="s">
        <v>45</v>
      </c>
      <c r="I448" s="3">
        <v>1041.1199999999999</v>
      </c>
      <c r="J448" s="3">
        <v>3</v>
      </c>
      <c r="K448" s="3">
        <v>131.25389999999999</v>
      </c>
    </row>
    <row r="449" spans="1:11" ht="15.6" x14ac:dyDescent="0.3">
      <c r="A449" s="7">
        <v>42208</v>
      </c>
      <c r="B449" s="8">
        <f>YEAR(A449)</f>
        <v>2015</v>
      </c>
      <c r="C449" s="8">
        <f>MONTH(A449)</f>
        <v>7</v>
      </c>
      <c r="D449" s="3" t="s">
        <v>15</v>
      </c>
      <c r="E449" s="3" t="s">
        <v>19</v>
      </c>
      <c r="F449" s="3" t="s">
        <v>30</v>
      </c>
      <c r="G449" s="3" t="s">
        <v>35</v>
      </c>
      <c r="H449" s="3" t="s">
        <v>59</v>
      </c>
      <c r="I449" s="3">
        <v>1138.81</v>
      </c>
      <c r="J449" s="3">
        <v>6</v>
      </c>
      <c r="K449" s="3">
        <v>-154.7045</v>
      </c>
    </row>
    <row r="450" spans="1:11" ht="15.6" x14ac:dyDescent="0.3">
      <c r="A450" s="7">
        <v>42211</v>
      </c>
      <c r="B450" s="8">
        <f>YEAR(A450)</f>
        <v>2015</v>
      </c>
      <c r="C450" s="8">
        <f>MONTH(A450)</f>
        <v>7</v>
      </c>
      <c r="D450" s="3" t="s">
        <v>14</v>
      </c>
      <c r="E450" s="3" t="s">
        <v>22</v>
      </c>
      <c r="F450" s="3" t="s">
        <v>31</v>
      </c>
      <c r="G450" s="3" t="s">
        <v>34</v>
      </c>
      <c r="H450" s="3" t="s">
        <v>46</v>
      </c>
      <c r="I450" s="3">
        <v>424.62</v>
      </c>
      <c r="J450" s="3">
        <v>9</v>
      </c>
      <c r="K450" s="3">
        <v>-42.564399999999999</v>
      </c>
    </row>
    <row r="451" spans="1:11" ht="15.6" x14ac:dyDescent="0.3">
      <c r="A451" s="7">
        <v>42211</v>
      </c>
      <c r="B451" s="8">
        <f>YEAR(A451)</f>
        <v>2015</v>
      </c>
      <c r="C451" s="8">
        <f>MONTH(A451)</f>
        <v>7</v>
      </c>
      <c r="D451" s="3" t="s">
        <v>17</v>
      </c>
      <c r="E451" s="3" t="s">
        <v>23</v>
      </c>
      <c r="F451" s="3" t="s">
        <v>31</v>
      </c>
      <c r="G451" s="3" t="s">
        <v>43</v>
      </c>
      <c r="H451" s="3" t="s">
        <v>62</v>
      </c>
      <c r="I451" s="3">
        <v>1058.55</v>
      </c>
      <c r="J451" s="3">
        <v>4</v>
      </c>
      <c r="K451" s="3">
        <v>172.39250000000001</v>
      </c>
    </row>
    <row r="452" spans="1:11" ht="15.6" x14ac:dyDescent="0.3">
      <c r="A452" s="7">
        <v>42214</v>
      </c>
      <c r="B452" s="8">
        <f>YEAR(A452)</f>
        <v>2015</v>
      </c>
      <c r="C452" s="8">
        <f>MONTH(A452)</f>
        <v>7</v>
      </c>
      <c r="D452" s="3" t="s">
        <v>12</v>
      </c>
      <c r="E452" s="3" t="s">
        <v>19</v>
      </c>
      <c r="F452" s="3" t="s">
        <v>29</v>
      </c>
      <c r="G452" s="3" t="s">
        <v>40</v>
      </c>
      <c r="H452" s="3" t="s">
        <v>61</v>
      </c>
      <c r="I452" s="3">
        <v>168.12</v>
      </c>
      <c r="J452" s="3">
        <v>8</v>
      </c>
      <c r="K452" s="3">
        <v>-9.4258000000000006</v>
      </c>
    </row>
    <row r="453" spans="1:11" ht="15.6" x14ac:dyDescent="0.3">
      <c r="A453" s="7">
        <v>42216</v>
      </c>
      <c r="B453" s="8">
        <f>YEAR(A453)</f>
        <v>2015</v>
      </c>
      <c r="C453" s="8">
        <f>MONTH(A453)</f>
        <v>7</v>
      </c>
      <c r="D453" s="3" t="s">
        <v>10</v>
      </c>
      <c r="E453" s="3" t="s">
        <v>20</v>
      </c>
      <c r="F453" s="3" t="s">
        <v>31</v>
      </c>
      <c r="G453" s="3" t="s">
        <v>34</v>
      </c>
      <c r="H453" s="3" t="s">
        <v>46</v>
      </c>
      <c r="I453" s="3">
        <v>919.5</v>
      </c>
      <c r="J453" s="3">
        <v>8</v>
      </c>
      <c r="K453" s="3">
        <v>-104.7677</v>
      </c>
    </row>
    <row r="454" spans="1:11" ht="15.6" x14ac:dyDescent="0.3">
      <c r="A454" s="7">
        <v>42218</v>
      </c>
      <c r="B454" s="8">
        <f>YEAR(A454)</f>
        <v>2015</v>
      </c>
      <c r="C454" s="8">
        <f>MONTH(A454)</f>
        <v>8</v>
      </c>
      <c r="D454" s="3" t="s">
        <v>10</v>
      </c>
      <c r="E454" s="3" t="s">
        <v>19</v>
      </c>
      <c r="F454" s="3" t="s">
        <v>31</v>
      </c>
      <c r="G454" s="3" t="s">
        <v>39</v>
      </c>
      <c r="H454" s="3" t="s">
        <v>71</v>
      </c>
      <c r="I454" s="3">
        <v>929.37</v>
      </c>
      <c r="J454" s="3">
        <v>5</v>
      </c>
      <c r="K454" s="3">
        <v>-143.6103</v>
      </c>
    </row>
    <row r="455" spans="1:11" ht="15.6" x14ac:dyDescent="0.3">
      <c r="A455" s="7">
        <v>42219</v>
      </c>
      <c r="B455" s="8">
        <f>YEAR(A455)</f>
        <v>2015</v>
      </c>
      <c r="C455" s="8">
        <f>MONTH(A455)</f>
        <v>8</v>
      </c>
      <c r="D455" s="3" t="s">
        <v>12</v>
      </c>
      <c r="E455" s="3" t="s">
        <v>28</v>
      </c>
      <c r="F455" s="3" t="s">
        <v>31</v>
      </c>
      <c r="G455" s="3" t="s">
        <v>34</v>
      </c>
      <c r="H455" s="3" t="s">
        <v>47</v>
      </c>
      <c r="I455" s="3">
        <v>1083.8399999999999</v>
      </c>
      <c r="J455" s="3">
        <v>5</v>
      </c>
      <c r="K455" s="3">
        <v>64.703800000000001</v>
      </c>
    </row>
    <row r="456" spans="1:11" ht="15.6" x14ac:dyDescent="0.3">
      <c r="A456" s="7">
        <v>42220</v>
      </c>
      <c r="B456" s="8">
        <f>YEAR(A456)</f>
        <v>2015</v>
      </c>
      <c r="C456" s="8">
        <f>MONTH(A456)</f>
        <v>8</v>
      </c>
      <c r="D456" s="3" t="s">
        <v>13</v>
      </c>
      <c r="E456" s="3" t="s">
        <v>26</v>
      </c>
      <c r="F456" s="3" t="s">
        <v>29</v>
      </c>
      <c r="G456" s="3" t="s">
        <v>40</v>
      </c>
      <c r="H456" s="3" t="s">
        <v>61</v>
      </c>
      <c r="I456" s="3">
        <v>1136.97</v>
      </c>
      <c r="J456" s="3">
        <v>4</v>
      </c>
      <c r="K456" s="3">
        <v>-71.739900000000006</v>
      </c>
    </row>
    <row r="457" spans="1:11" ht="15.6" x14ac:dyDescent="0.3">
      <c r="A457" s="7">
        <v>42220</v>
      </c>
      <c r="B457" s="8">
        <f>YEAR(A457)</f>
        <v>2015</v>
      </c>
      <c r="C457" s="8">
        <f>MONTH(A457)</f>
        <v>8</v>
      </c>
      <c r="D457" s="3" t="s">
        <v>12</v>
      </c>
      <c r="E457" s="3" t="s">
        <v>26</v>
      </c>
      <c r="F457" s="3" t="s">
        <v>31</v>
      </c>
      <c r="G457" s="3" t="s">
        <v>39</v>
      </c>
      <c r="H457" s="3" t="s">
        <v>71</v>
      </c>
      <c r="I457" s="3">
        <v>262.62</v>
      </c>
      <c r="J457" s="3">
        <v>8</v>
      </c>
      <c r="K457" s="3">
        <v>-104.63720000000001</v>
      </c>
    </row>
    <row r="458" spans="1:11" ht="15.6" x14ac:dyDescent="0.3">
      <c r="A458" s="7">
        <v>42221</v>
      </c>
      <c r="B458" s="8">
        <f>YEAR(A458)</f>
        <v>2015</v>
      </c>
      <c r="C458" s="8">
        <f>MONTH(A458)</f>
        <v>8</v>
      </c>
      <c r="D458" s="3" t="s">
        <v>10</v>
      </c>
      <c r="E458" s="3" t="s">
        <v>19</v>
      </c>
      <c r="F458" s="3" t="s">
        <v>31</v>
      </c>
      <c r="G458" s="3" t="s">
        <v>43</v>
      </c>
      <c r="H458" s="3" t="s">
        <v>62</v>
      </c>
      <c r="I458" s="3">
        <v>244.83</v>
      </c>
      <c r="J458" s="3">
        <v>10</v>
      </c>
      <c r="K458" s="3">
        <v>-48.118600000000001</v>
      </c>
    </row>
    <row r="459" spans="1:11" ht="15.6" x14ac:dyDescent="0.3">
      <c r="A459" s="7">
        <v>42222</v>
      </c>
      <c r="B459" s="8">
        <f>YEAR(A459)</f>
        <v>2015</v>
      </c>
      <c r="C459" s="8">
        <f>MONTH(A459)</f>
        <v>8</v>
      </c>
      <c r="D459" s="3" t="s">
        <v>17</v>
      </c>
      <c r="E459" s="3" t="s">
        <v>24</v>
      </c>
      <c r="F459" s="3" t="s">
        <v>29</v>
      </c>
      <c r="G459" s="3" t="s">
        <v>40</v>
      </c>
      <c r="H459" s="3" t="s">
        <v>61</v>
      </c>
      <c r="I459" s="3">
        <v>429.36</v>
      </c>
      <c r="J459" s="3">
        <v>9</v>
      </c>
      <c r="K459" s="3">
        <v>-14.7613</v>
      </c>
    </row>
    <row r="460" spans="1:11" ht="15.6" x14ac:dyDescent="0.3">
      <c r="A460" s="7">
        <v>42224</v>
      </c>
      <c r="B460" s="8">
        <f>YEAR(A460)</f>
        <v>2015</v>
      </c>
      <c r="C460" s="8">
        <f>MONTH(A460)</f>
        <v>8</v>
      </c>
      <c r="D460" s="3" t="s">
        <v>9</v>
      </c>
      <c r="E460" s="3" t="s">
        <v>23</v>
      </c>
      <c r="F460" s="3" t="s">
        <v>31</v>
      </c>
      <c r="G460" s="3" t="s">
        <v>36</v>
      </c>
      <c r="H460" s="3" t="s">
        <v>70</v>
      </c>
      <c r="I460" s="3">
        <v>834.31</v>
      </c>
      <c r="J460" s="3">
        <v>8</v>
      </c>
      <c r="K460" s="3">
        <v>-208.4659</v>
      </c>
    </row>
    <row r="461" spans="1:11" ht="15.6" x14ac:dyDescent="0.3">
      <c r="A461" s="7">
        <v>42225</v>
      </c>
      <c r="B461" s="8">
        <f>YEAR(A461)</f>
        <v>2015</v>
      </c>
      <c r="C461" s="8">
        <f>MONTH(A461)</f>
        <v>8</v>
      </c>
      <c r="D461" s="3" t="s">
        <v>18</v>
      </c>
      <c r="E461" s="3" t="s">
        <v>26</v>
      </c>
      <c r="F461" s="3" t="s">
        <v>29</v>
      </c>
      <c r="G461" s="3" t="s">
        <v>40</v>
      </c>
      <c r="H461" s="3" t="s">
        <v>56</v>
      </c>
      <c r="I461" s="3">
        <v>646.35</v>
      </c>
      <c r="J461" s="3">
        <v>2</v>
      </c>
      <c r="K461" s="3">
        <v>-49.642400000000002</v>
      </c>
    </row>
    <row r="462" spans="1:11" ht="15.6" x14ac:dyDescent="0.3">
      <c r="A462" s="7">
        <v>42226</v>
      </c>
      <c r="B462" s="8">
        <f>YEAR(A462)</f>
        <v>2015</v>
      </c>
      <c r="C462" s="8">
        <f>MONTH(A462)</f>
        <v>8</v>
      </c>
      <c r="D462" s="3" t="s">
        <v>16</v>
      </c>
      <c r="E462" s="3" t="s">
        <v>24</v>
      </c>
      <c r="F462" s="3" t="s">
        <v>31</v>
      </c>
      <c r="G462" s="3" t="s">
        <v>43</v>
      </c>
      <c r="H462" s="3" t="s">
        <v>62</v>
      </c>
      <c r="I462" s="3">
        <v>335.6</v>
      </c>
      <c r="J462" s="3">
        <v>6</v>
      </c>
      <c r="K462" s="3">
        <v>60.270499999999998</v>
      </c>
    </row>
    <row r="463" spans="1:11" ht="15.6" x14ac:dyDescent="0.3">
      <c r="A463" s="7">
        <v>42227</v>
      </c>
      <c r="B463" s="8">
        <f>YEAR(A463)</f>
        <v>2015</v>
      </c>
      <c r="C463" s="8">
        <f>MONTH(A463)</f>
        <v>8</v>
      </c>
      <c r="D463" s="3" t="s">
        <v>16</v>
      </c>
      <c r="E463" s="3" t="s">
        <v>19</v>
      </c>
      <c r="F463" s="3" t="s">
        <v>30</v>
      </c>
      <c r="G463" s="3" t="s">
        <v>35</v>
      </c>
      <c r="H463" s="3" t="s">
        <v>66</v>
      </c>
      <c r="I463" s="3">
        <v>565.69000000000005</v>
      </c>
      <c r="J463" s="3">
        <v>1</v>
      </c>
      <c r="K463" s="3">
        <v>65.522400000000005</v>
      </c>
    </row>
    <row r="464" spans="1:11" ht="15.6" x14ac:dyDescent="0.3">
      <c r="A464" s="7">
        <v>42227</v>
      </c>
      <c r="B464" s="8">
        <f>YEAR(A464)</f>
        <v>2015</v>
      </c>
      <c r="C464" s="8">
        <f>MONTH(A464)</f>
        <v>8</v>
      </c>
      <c r="D464" s="3" t="s">
        <v>13</v>
      </c>
      <c r="E464" s="3" t="s">
        <v>19</v>
      </c>
      <c r="F464" s="3" t="s">
        <v>30</v>
      </c>
      <c r="G464" s="3" t="s">
        <v>33</v>
      </c>
      <c r="H464" s="3" t="s">
        <v>55</v>
      </c>
      <c r="I464" s="3">
        <v>608.5</v>
      </c>
      <c r="J464" s="3">
        <v>2</v>
      </c>
      <c r="K464" s="3">
        <v>-121.9971</v>
      </c>
    </row>
    <row r="465" spans="1:11" ht="15.6" x14ac:dyDescent="0.3">
      <c r="A465" s="7">
        <v>42228</v>
      </c>
      <c r="B465" s="8">
        <f>YEAR(A465)</f>
        <v>2015</v>
      </c>
      <c r="C465" s="8">
        <f>MONTH(A465)</f>
        <v>8</v>
      </c>
      <c r="D465" s="3" t="s">
        <v>11</v>
      </c>
      <c r="E465" s="3" t="s">
        <v>26</v>
      </c>
      <c r="F465" s="3" t="s">
        <v>30</v>
      </c>
      <c r="G465" s="3" t="s">
        <v>35</v>
      </c>
      <c r="H465" s="3" t="s">
        <v>59</v>
      </c>
      <c r="I465" s="3">
        <v>1196.92</v>
      </c>
      <c r="J465" s="3">
        <v>2</v>
      </c>
      <c r="K465" s="3">
        <v>-89.196100000000001</v>
      </c>
    </row>
    <row r="466" spans="1:11" ht="15.6" x14ac:dyDescent="0.3">
      <c r="A466" s="7">
        <v>42228</v>
      </c>
      <c r="B466" s="8">
        <f>YEAR(A466)</f>
        <v>2015</v>
      </c>
      <c r="C466" s="8">
        <f>MONTH(A466)</f>
        <v>8</v>
      </c>
      <c r="D466" s="3" t="s">
        <v>17</v>
      </c>
      <c r="E466" s="3" t="s">
        <v>19</v>
      </c>
      <c r="F466" s="3" t="s">
        <v>30</v>
      </c>
      <c r="G466" s="3" t="s">
        <v>42</v>
      </c>
      <c r="H466" s="3" t="s">
        <v>67</v>
      </c>
      <c r="I466" s="3">
        <v>515.33000000000004</v>
      </c>
      <c r="J466" s="3">
        <v>6</v>
      </c>
      <c r="K466" s="3">
        <v>-105.774</v>
      </c>
    </row>
    <row r="467" spans="1:11" ht="15.6" x14ac:dyDescent="0.3">
      <c r="A467" s="7">
        <v>42229</v>
      </c>
      <c r="B467" s="8">
        <f>YEAR(A467)</f>
        <v>2015</v>
      </c>
      <c r="C467" s="8">
        <f>MONTH(A467)</f>
        <v>8</v>
      </c>
      <c r="D467" s="3" t="s">
        <v>18</v>
      </c>
      <c r="E467" s="3" t="s">
        <v>19</v>
      </c>
      <c r="F467" s="3" t="s">
        <v>30</v>
      </c>
      <c r="G467" s="3" t="s">
        <v>37</v>
      </c>
      <c r="H467" s="3" t="s">
        <v>64</v>
      </c>
      <c r="I467" s="3">
        <v>528.54999999999995</v>
      </c>
      <c r="J467" s="3">
        <v>8</v>
      </c>
      <c r="K467" s="3">
        <v>-163.2852</v>
      </c>
    </row>
    <row r="468" spans="1:11" ht="15.6" x14ac:dyDescent="0.3">
      <c r="A468" s="7">
        <v>42229</v>
      </c>
      <c r="B468" s="8">
        <f>YEAR(A468)</f>
        <v>2015</v>
      </c>
      <c r="C468" s="8">
        <f>MONTH(A468)</f>
        <v>8</v>
      </c>
      <c r="D468" s="3" t="s">
        <v>16</v>
      </c>
      <c r="E468" s="3" t="s">
        <v>28</v>
      </c>
      <c r="F468" s="3" t="s">
        <v>31</v>
      </c>
      <c r="G468" s="3" t="s">
        <v>39</v>
      </c>
      <c r="H468" s="3" t="s">
        <v>71</v>
      </c>
      <c r="I468" s="3">
        <v>814.75</v>
      </c>
      <c r="J468" s="3">
        <v>3</v>
      </c>
      <c r="K468" s="3">
        <v>-280.76580000000001</v>
      </c>
    </row>
    <row r="469" spans="1:11" ht="15.6" x14ac:dyDescent="0.3">
      <c r="A469" s="7">
        <v>42229</v>
      </c>
      <c r="B469" s="8">
        <f>YEAR(A469)</f>
        <v>2015</v>
      </c>
      <c r="C469" s="8">
        <f>MONTH(A469)</f>
        <v>8</v>
      </c>
      <c r="D469" s="3" t="s">
        <v>13</v>
      </c>
      <c r="E469" s="3" t="s">
        <v>27</v>
      </c>
      <c r="F469" s="3" t="s">
        <v>30</v>
      </c>
      <c r="G469" s="3" t="s">
        <v>37</v>
      </c>
      <c r="H469" s="3" t="s">
        <v>64</v>
      </c>
      <c r="I469" s="3">
        <v>1146.5999999999999</v>
      </c>
      <c r="J469" s="3">
        <v>2</v>
      </c>
      <c r="K469" s="3">
        <v>-160.78469999999999</v>
      </c>
    </row>
    <row r="470" spans="1:11" ht="15.6" x14ac:dyDescent="0.3">
      <c r="A470" s="7">
        <v>42230</v>
      </c>
      <c r="B470" s="8">
        <f>YEAR(A470)</f>
        <v>2015</v>
      </c>
      <c r="C470" s="8">
        <f>MONTH(A470)</f>
        <v>8</v>
      </c>
      <c r="D470" s="3" t="s">
        <v>9</v>
      </c>
      <c r="E470" s="3" t="s">
        <v>25</v>
      </c>
      <c r="F470" s="3" t="s">
        <v>31</v>
      </c>
      <c r="G470" s="3" t="s">
        <v>36</v>
      </c>
      <c r="H470" s="3" t="s">
        <v>50</v>
      </c>
      <c r="I470" s="3">
        <v>796.79</v>
      </c>
      <c r="J470" s="3">
        <v>7</v>
      </c>
      <c r="K470" s="3">
        <v>167.465</v>
      </c>
    </row>
    <row r="471" spans="1:11" ht="15.6" x14ac:dyDescent="0.3">
      <c r="A471" s="7">
        <v>42230</v>
      </c>
      <c r="B471" s="8">
        <f>YEAR(A471)</f>
        <v>2015</v>
      </c>
      <c r="C471" s="8">
        <f>MONTH(A471)</f>
        <v>8</v>
      </c>
      <c r="D471" s="3" t="s">
        <v>18</v>
      </c>
      <c r="E471" s="3" t="s">
        <v>20</v>
      </c>
      <c r="F471" s="3" t="s">
        <v>30</v>
      </c>
      <c r="G471" s="3" t="s">
        <v>33</v>
      </c>
      <c r="H471" s="3" t="s">
        <v>45</v>
      </c>
      <c r="I471" s="3">
        <v>1150.1199999999999</v>
      </c>
      <c r="J471" s="3">
        <v>2</v>
      </c>
      <c r="K471" s="3">
        <v>-365.71089999999998</v>
      </c>
    </row>
    <row r="472" spans="1:11" ht="15.6" x14ac:dyDescent="0.3">
      <c r="A472" s="7">
        <v>42230</v>
      </c>
      <c r="B472" s="8">
        <f>YEAR(A472)</f>
        <v>2015</v>
      </c>
      <c r="C472" s="8">
        <f>MONTH(A472)</f>
        <v>8</v>
      </c>
      <c r="D472" s="3" t="s">
        <v>9</v>
      </c>
      <c r="E472" s="3" t="s">
        <v>21</v>
      </c>
      <c r="F472" s="3" t="s">
        <v>30</v>
      </c>
      <c r="G472" s="3" t="s">
        <v>33</v>
      </c>
      <c r="H472" s="3" t="s">
        <v>55</v>
      </c>
      <c r="I472" s="3">
        <v>670.77</v>
      </c>
      <c r="J472" s="3">
        <v>1</v>
      </c>
      <c r="K472" s="3">
        <v>-226.93090000000001</v>
      </c>
    </row>
    <row r="473" spans="1:11" ht="15.6" x14ac:dyDescent="0.3">
      <c r="A473" s="7">
        <v>42231</v>
      </c>
      <c r="B473" s="8">
        <f>YEAR(A473)</f>
        <v>2015</v>
      </c>
      <c r="C473" s="8">
        <f>MONTH(A473)</f>
        <v>8</v>
      </c>
      <c r="D473" s="3" t="s">
        <v>16</v>
      </c>
      <c r="E473" s="3" t="s">
        <v>21</v>
      </c>
      <c r="F473" s="3" t="s">
        <v>31</v>
      </c>
      <c r="G473" s="3" t="s">
        <v>43</v>
      </c>
      <c r="H473" s="3" t="s">
        <v>68</v>
      </c>
      <c r="I473" s="3">
        <v>847.36</v>
      </c>
      <c r="J473" s="3">
        <v>8</v>
      </c>
      <c r="K473" s="3">
        <v>-137.45830000000001</v>
      </c>
    </row>
    <row r="474" spans="1:11" ht="15.6" x14ac:dyDescent="0.3">
      <c r="A474" s="7">
        <v>42232</v>
      </c>
      <c r="B474" s="8">
        <f>YEAR(A474)</f>
        <v>2015</v>
      </c>
      <c r="C474" s="8">
        <f>MONTH(A474)</f>
        <v>8</v>
      </c>
      <c r="D474" s="3" t="s">
        <v>10</v>
      </c>
      <c r="E474" s="3" t="s">
        <v>28</v>
      </c>
      <c r="F474" s="3" t="s">
        <v>30</v>
      </c>
      <c r="G474" s="3" t="s">
        <v>42</v>
      </c>
      <c r="H474" s="3" t="s">
        <v>67</v>
      </c>
      <c r="I474" s="3">
        <v>785.41</v>
      </c>
      <c r="J474" s="3">
        <v>3</v>
      </c>
      <c r="K474" s="3">
        <v>-313.8442</v>
      </c>
    </row>
    <row r="475" spans="1:11" ht="15.6" x14ac:dyDescent="0.3">
      <c r="A475" s="7">
        <v>42236</v>
      </c>
      <c r="B475" s="8">
        <f>YEAR(A475)</f>
        <v>2015</v>
      </c>
      <c r="C475" s="8">
        <f>MONTH(A475)</f>
        <v>8</v>
      </c>
      <c r="D475" s="3" t="s">
        <v>12</v>
      </c>
      <c r="E475" s="3" t="s">
        <v>28</v>
      </c>
      <c r="F475" s="3" t="s">
        <v>31</v>
      </c>
      <c r="G475" s="3" t="s">
        <v>38</v>
      </c>
      <c r="H475" s="3" t="s">
        <v>53</v>
      </c>
      <c r="I475" s="3">
        <v>445.75</v>
      </c>
      <c r="J475" s="3">
        <v>1</v>
      </c>
      <c r="K475" s="3">
        <v>-5.2328999999999999</v>
      </c>
    </row>
    <row r="476" spans="1:11" ht="15.6" x14ac:dyDescent="0.3">
      <c r="A476" s="7">
        <v>42237</v>
      </c>
      <c r="B476" s="8">
        <f>YEAR(A476)</f>
        <v>2015</v>
      </c>
      <c r="C476" s="8">
        <f>MONTH(A476)</f>
        <v>8</v>
      </c>
      <c r="D476" s="3" t="s">
        <v>9</v>
      </c>
      <c r="E476" s="3" t="s">
        <v>28</v>
      </c>
      <c r="F476" s="3" t="s">
        <v>30</v>
      </c>
      <c r="G476" s="3" t="s">
        <v>35</v>
      </c>
      <c r="H476" s="3" t="s">
        <v>66</v>
      </c>
      <c r="I476" s="3">
        <v>613.1</v>
      </c>
      <c r="J476" s="3">
        <v>5</v>
      </c>
      <c r="K476" s="3">
        <v>-54.187199999999997</v>
      </c>
    </row>
    <row r="477" spans="1:11" ht="15.6" x14ac:dyDescent="0.3">
      <c r="A477" s="7">
        <v>42237</v>
      </c>
      <c r="B477" s="8">
        <f>YEAR(A477)</f>
        <v>2015</v>
      </c>
      <c r="C477" s="8">
        <f>MONTH(A477)</f>
        <v>8</v>
      </c>
      <c r="D477" s="3" t="s">
        <v>17</v>
      </c>
      <c r="E477" s="3" t="s">
        <v>26</v>
      </c>
      <c r="F477" s="3" t="s">
        <v>31</v>
      </c>
      <c r="G477" s="3" t="s">
        <v>36</v>
      </c>
      <c r="H477" s="3" t="s">
        <v>70</v>
      </c>
      <c r="I477" s="3">
        <v>499.5</v>
      </c>
      <c r="J477" s="3">
        <v>2</v>
      </c>
      <c r="K477" s="3">
        <v>71.744600000000005</v>
      </c>
    </row>
    <row r="478" spans="1:11" ht="15.6" x14ac:dyDescent="0.3">
      <c r="A478" s="7">
        <v>42237</v>
      </c>
      <c r="B478" s="8">
        <f>YEAR(A478)</f>
        <v>2015</v>
      </c>
      <c r="C478" s="8">
        <f>MONTH(A478)</f>
        <v>8</v>
      </c>
      <c r="D478" s="3" t="s">
        <v>10</v>
      </c>
      <c r="E478" s="3" t="s">
        <v>28</v>
      </c>
      <c r="F478" s="3" t="s">
        <v>30</v>
      </c>
      <c r="G478" s="3" t="s">
        <v>37</v>
      </c>
      <c r="H478" s="3" t="s">
        <v>64</v>
      </c>
      <c r="I478" s="3">
        <v>678.75</v>
      </c>
      <c r="J478" s="3">
        <v>5</v>
      </c>
      <c r="K478" s="3">
        <v>104.99039999999999</v>
      </c>
    </row>
    <row r="479" spans="1:11" ht="15.6" x14ac:dyDescent="0.3">
      <c r="A479" s="7">
        <v>42237</v>
      </c>
      <c r="B479" s="8">
        <f>YEAR(A479)</f>
        <v>2015</v>
      </c>
      <c r="C479" s="8">
        <f>MONTH(A479)</f>
        <v>8</v>
      </c>
      <c r="D479" s="3" t="s">
        <v>17</v>
      </c>
      <c r="E479" s="3" t="s">
        <v>19</v>
      </c>
      <c r="F479" s="3" t="s">
        <v>31</v>
      </c>
      <c r="G479" s="3" t="s">
        <v>43</v>
      </c>
      <c r="H479" s="3" t="s">
        <v>62</v>
      </c>
      <c r="I479" s="3">
        <v>316.88</v>
      </c>
      <c r="J479" s="3">
        <v>6</v>
      </c>
      <c r="K479" s="3">
        <v>93.331100000000006</v>
      </c>
    </row>
    <row r="480" spans="1:11" ht="15.6" x14ac:dyDescent="0.3">
      <c r="A480" s="7">
        <v>42238</v>
      </c>
      <c r="B480" s="8">
        <f>YEAR(A480)</f>
        <v>2015</v>
      </c>
      <c r="C480" s="8">
        <f>MONTH(A480)</f>
        <v>8</v>
      </c>
      <c r="D480" s="3" t="s">
        <v>12</v>
      </c>
      <c r="E480" s="3" t="s">
        <v>20</v>
      </c>
      <c r="F480" s="3" t="s">
        <v>30</v>
      </c>
      <c r="G480" s="3" t="s">
        <v>37</v>
      </c>
      <c r="H480" s="3" t="s">
        <v>64</v>
      </c>
      <c r="I480" s="3">
        <v>851.26</v>
      </c>
      <c r="J480" s="3">
        <v>9</v>
      </c>
      <c r="K480" s="3">
        <v>-22.308800000000002</v>
      </c>
    </row>
    <row r="481" spans="1:11" ht="15.6" x14ac:dyDescent="0.3">
      <c r="A481" s="7">
        <v>42239</v>
      </c>
      <c r="B481" s="8">
        <f>YEAR(A481)</f>
        <v>2015</v>
      </c>
      <c r="C481" s="8">
        <f>MONTH(A481)</f>
        <v>8</v>
      </c>
      <c r="D481" s="3" t="s">
        <v>16</v>
      </c>
      <c r="E481" s="3" t="s">
        <v>26</v>
      </c>
      <c r="F481" s="3" t="s">
        <v>29</v>
      </c>
      <c r="G481" s="3" t="s">
        <v>41</v>
      </c>
      <c r="H481" s="3" t="s">
        <v>65</v>
      </c>
      <c r="I481" s="3">
        <v>350.75</v>
      </c>
      <c r="J481" s="3">
        <v>5</v>
      </c>
      <c r="K481" s="3">
        <v>110.24</v>
      </c>
    </row>
    <row r="482" spans="1:11" ht="15.6" x14ac:dyDescent="0.3">
      <c r="A482" s="7">
        <v>42239</v>
      </c>
      <c r="B482" s="8">
        <f>YEAR(A482)</f>
        <v>2015</v>
      </c>
      <c r="C482" s="8">
        <f>MONTH(A482)</f>
        <v>8</v>
      </c>
      <c r="D482" s="3" t="s">
        <v>18</v>
      </c>
      <c r="E482" s="3" t="s">
        <v>28</v>
      </c>
      <c r="F482" s="3" t="s">
        <v>31</v>
      </c>
      <c r="G482" s="3" t="s">
        <v>39</v>
      </c>
      <c r="H482" s="3" t="s">
        <v>71</v>
      </c>
      <c r="I482" s="3">
        <v>718.42</v>
      </c>
      <c r="J482" s="3">
        <v>1</v>
      </c>
      <c r="K482" s="3">
        <v>8.0169999999999995</v>
      </c>
    </row>
    <row r="483" spans="1:11" ht="15.6" x14ac:dyDescent="0.3">
      <c r="A483" s="7">
        <v>42243</v>
      </c>
      <c r="B483" s="8">
        <f>YEAR(A483)</f>
        <v>2015</v>
      </c>
      <c r="C483" s="8">
        <f>MONTH(A483)</f>
        <v>8</v>
      </c>
      <c r="D483" s="3" t="s">
        <v>14</v>
      </c>
      <c r="E483" s="3" t="s">
        <v>26</v>
      </c>
      <c r="F483" s="3" t="s">
        <v>30</v>
      </c>
      <c r="G483" s="3" t="s">
        <v>33</v>
      </c>
      <c r="H483" s="3" t="s">
        <v>55</v>
      </c>
      <c r="I483" s="3">
        <v>157.18</v>
      </c>
      <c r="J483" s="3">
        <v>1</v>
      </c>
      <c r="K483" s="3">
        <v>48.975900000000003</v>
      </c>
    </row>
    <row r="484" spans="1:11" ht="15.6" x14ac:dyDescent="0.3">
      <c r="A484" s="7">
        <v>42243</v>
      </c>
      <c r="B484" s="8">
        <f>YEAR(A484)</f>
        <v>2015</v>
      </c>
      <c r="C484" s="8">
        <f>MONTH(A484)</f>
        <v>8</v>
      </c>
      <c r="D484" s="3" t="s">
        <v>14</v>
      </c>
      <c r="E484" s="3" t="s">
        <v>25</v>
      </c>
      <c r="F484" s="3" t="s">
        <v>31</v>
      </c>
      <c r="G484" s="3" t="s">
        <v>39</v>
      </c>
      <c r="H484" s="3" t="s">
        <v>54</v>
      </c>
      <c r="I484" s="3">
        <v>28.99</v>
      </c>
      <c r="J484" s="3">
        <v>5</v>
      </c>
      <c r="K484" s="3">
        <v>9.0954999999999995</v>
      </c>
    </row>
    <row r="485" spans="1:11" ht="15.6" x14ac:dyDescent="0.3">
      <c r="A485" s="7">
        <v>42243</v>
      </c>
      <c r="B485" s="8">
        <f>YEAR(A485)</f>
        <v>2015</v>
      </c>
      <c r="C485" s="8">
        <f>MONTH(A485)</f>
        <v>8</v>
      </c>
      <c r="D485" s="3" t="s">
        <v>11</v>
      </c>
      <c r="E485" s="3" t="s">
        <v>28</v>
      </c>
      <c r="F485" s="3" t="s">
        <v>29</v>
      </c>
      <c r="G485" s="3" t="s">
        <v>32</v>
      </c>
      <c r="H485" s="3" t="s">
        <v>48</v>
      </c>
      <c r="I485" s="3">
        <v>653.57000000000005</v>
      </c>
      <c r="J485" s="3">
        <v>8</v>
      </c>
      <c r="K485" s="3">
        <v>-168.4042</v>
      </c>
    </row>
    <row r="486" spans="1:11" ht="15.6" x14ac:dyDescent="0.3">
      <c r="A486" s="7">
        <v>42243</v>
      </c>
      <c r="B486" s="8">
        <f>YEAR(A486)</f>
        <v>2015</v>
      </c>
      <c r="C486" s="8">
        <f>MONTH(A486)</f>
        <v>8</v>
      </c>
      <c r="D486" s="3" t="s">
        <v>17</v>
      </c>
      <c r="E486" s="3" t="s">
        <v>25</v>
      </c>
      <c r="F486" s="3" t="s">
        <v>30</v>
      </c>
      <c r="G486" s="3" t="s">
        <v>35</v>
      </c>
      <c r="H486" s="3" t="s">
        <v>66</v>
      </c>
      <c r="I486" s="3">
        <v>563.01</v>
      </c>
      <c r="J486" s="3">
        <v>2</v>
      </c>
      <c r="K486" s="3">
        <v>44.5259</v>
      </c>
    </row>
    <row r="487" spans="1:11" ht="15.6" x14ac:dyDescent="0.3">
      <c r="A487" s="7">
        <v>42245</v>
      </c>
      <c r="B487" s="8">
        <f>YEAR(A487)</f>
        <v>2015</v>
      </c>
      <c r="C487" s="8">
        <f>MONTH(A487)</f>
        <v>8</v>
      </c>
      <c r="D487" s="3" t="s">
        <v>12</v>
      </c>
      <c r="E487" s="3" t="s">
        <v>27</v>
      </c>
      <c r="F487" s="3" t="s">
        <v>30</v>
      </c>
      <c r="G487" s="3" t="s">
        <v>33</v>
      </c>
      <c r="H487" s="3" t="s">
        <v>45</v>
      </c>
      <c r="I487" s="3">
        <v>502.09</v>
      </c>
      <c r="J487" s="3">
        <v>2</v>
      </c>
      <c r="K487" s="3">
        <v>-157.12809999999999</v>
      </c>
    </row>
    <row r="488" spans="1:11" ht="15.6" x14ac:dyDescent="0.3">
      <c r="A488" s="7">
        <v>42245</v>
      </c>
      <c r="B488" s="8">
        <f>YEAR(A488)</f>
        <v>2015</v>
      </c>
      <c r="C488" s="8">
        <f>MONTH(A488)</f>
        <v>8</v>
      </c>
      <c r="D488" s="3" t="s">
        <v>10</v>
      </c>
      <c r="E488" s="3" t="s">
        <v>25</v>
      </c>
      <c r="F488" s="3" t="s">
        <v>30</v>
      </c>
      <c r="G488" s="3" t="s">
        <v>35</v>
      </c>
      <c r="H488" s="3" t="s">
        <v>66</v>
      </c>
      <c r="I488" s="3">
        <v>984.21</v>
      </c>
      <c r="J488" s="3">
        <v>9</v>
      </c>
      <c r="K488" s="3">
        <v>-122.697</v>
      </c>
    </row>
    <row r="489" spans="1:11" ht="15.6" x14ac:dyDescent="0.3">
      <c r="A489" s="7">
        <v>42246</v>
      </c>
      <c r="B489" s="8">
        <f>YEAR(A489)</f>
        <v>2015</v>
      </c>
      <c r="C489" s="8">
        <f>MONTH(A489)</f>
        <v>8</v>
      </c>
      <c r="D489" s="3" t="s">
        <v>10</v>
      </c>
      <c r="E489" s="3" t="s">
        <v>26</v>
      </c>
      <c r="F489" s="3" t="s">
        <v>31</v>
      </c>
      <c r="G489" s="3" t="s">
        <v>39</v>
      </c>
      <c r="H489" s="3" t="s">
        <v>54</v>
      </c>
      <c r="I489" s="3">
        <v>276.83999999999997</v>
      </c>
      <c r="J489" s="3">
        <v>3</v>
      </c>
      <c r="K489" s="3">
        <v>-47.976199999999999</v>
      </c>
    </row>
    <row r="490" spans="1:11" ht="15.6" x14ac:dyDescent="0.3">
      <c r="A490" s="7">
        <v>42248</v>
      </c>
      <c r="B490" s="8">
        <f>YEAR(A490)</f>
        <v>2015</v>
      </c>
      <c r="C490" s="8">
        <f>MONTH(A490)</f>
        <v>9</v>
      </c>
      <c r="D490" s="3" t="s">
        <v>10</v>
      </c>
      <c r="E490" s="3" t="s">
        <v>24</v>
      </c>
      <c r="F490" s="3" t="s">
        <v>31</v>
      </c>
      <c r="G490" s="3" t="s">
        <v>34</v>
      </c>
      <c r="H490" s="3" t="s">
        <v>46</v>
      </c>
      <c r="I490" s="3">
        <v>1195.49</v>
      </c>
      <c r="J490" s="3">
        <v>7</v>
      </c>
      <c r="K490" s="3">
        <v>243.2251</v>
      </c>
    </row>
    <row r="491" spans="1:11" ht="15.6" x14ac:dyDescent="0.3">
      <c r="A491" s="7">
        <v>42250</v>
      </c>
      <c r="B491" s="8">
        <f>YEAR(A491)</f>
        <v>2015</v>
      </c>
      <c r="C491" s="8">
        <f>MONTH(A491)</f>
        <v>9</v>
      </c>
      <c r="D491" s="3" t="s">
        <v>18</v>
      </c>
      <c r="E491" s="3" t="s">
        <v>19</v>
      </c>
      <c r="F491" s="3" t="s">
        <v>30</v>
      </c>
      <c r="G491" s="3" t="s">
        <v>42</v>
      </c>
      <c r="H491" s="3" t="s">
        <v>67</v>
      </c>
      <c r="I491" s="3">
        <v>1041.27</v>
      </c>
      <c r="J491" s="3">
        <v>7</v>
      </c>
      <c r="K491" s="3">
        <v>283.82929999999999</v>
      </c>
    </row>
    <row r="492" spans="1:11" ht="15.6" x14ac:dyDescent="0.3">
      <c r="A492" s="7">
        <v>42251</v>
      </c>
      <c r="B492" s="8">
        <f>YEAR(A492)</f>
        <v>2015</v>
      </c>
      <c r="C492" s="8">
        <f>MONTH(A492)</f>
        <v>9</v>
      </c>
      <c r="D492" s="3" t="s">
        <v>11</v>
      </c>
      <c r="E492" s="3" t="s">
        <v>23</v>
      </c>
      <c r="F492" s="3" t="s">
        <v>29</v>
      </c>
      <c r="G492" s="3" t="s">
        <v>41</v>
      </c>
      <c r="H492" s="3" t="s">
        <v>57</v>
      </c>
      <c r="I492" s="3">
        <v>1010.79</v>
      </c>
      <c r="J492" s="3">
        <v>9</v>
      </c>
      <c r="K492" s="3">
        <v>57.339799999999997</v>
      </c>
    </row>
    <row r="493" spans="1:11" ht="15.6" x14ac:dyDescent="0.3">
      <c r="A493" s="7">
        <v>42254</v>
      </c>
      <c r="B493" s="8">
        <f>YEAR(A493)</f>
        <v>2015</v>
      </c>
      <c r="C493" s="8">
        <f>MONTH(A493)</f>
        <v>9</v>
      </c>
      <c r="D493" s="3" t="s">
        <v>10</v>
      </c>
      <c r="E493" s="3" t="s">
        <v>21</v>
      </c>
      <c r="F493" s="3" t="s">
        <v>29</v>
      </c>
      <c r="G493" s="3" t="s">
        <v>32</v>
      </c>
      <c r="H493" s="3" t="s">
        <v>52</v>
      </c>
      <c r="I493" s="3">
        <v>304.91000000000003</v>
      </c>
      <c r="J493" s="3">
        <v>10</v>
      </c>
      <c r="K493" s="3">
        <v>-111.05370000000001</v>
      </c>
    </row>
    <row r="494" spans="1:11" ht="15.6" x14ac:dyDescent="0.3">
      <c r="A494" s="7">
        <v>42255</v>
      </c>
      <c r="B494" s="8">
        <f>YEAR(A494)</f>
        <v>2015</v>
      </c>
      <c r="C494" s="8">
        <f>MONTH(A494)</f>
        <v>9</v>
      </c>
      <c r="D494" s="3" t="s">
        <v>12</v>
      </c>
      <c r="E494" s="3" t="s">
        <v>28</v>
      </c>
      <c r="F494" s="3" t="s">
        <v>29</v>
      </c>
      <c r="G494" s="3" t="s">
        <v>40</v>
      </c>
      <c r="H494" s="3" t="s">
        <v>61</v>
      </c>
      <c r="I494" s="3">
        <v>49.66</v>
      </c>
      <c r="J494" s="3">
        <v>10</v>
      </c>
      <c r="K494" s="3">
        <v>-5.6532999999999998</v>
      </c>
    </row>
    <row r="495" spans="1:11" ht="15.6" x14ac:dyDescent="0.3">
      <c r="A495" s="7">
        <v>42256</v>
      </c>
      <c r="B495" s="8">
        <f>YEAR(A495)</f>
        <v>2015</v>
      </c>
      <c r="C495" s="8">
        <f>MONTH(A495)</f>
        <v>9</v>
      </c>
      <c r="D495" s="3" t="s">
        <v>12</v>
      </c>
      <c r="E495" s="3" t="s">
        <v>24</v>
      </c>
      <c r="F495" s="3" t="s">
        <v>29</v>
      </c>
      <c r="G495" s="3" t="s">
        <v>40</v>
      </c>
      <c r="H495" s="3" t="s">
        <v>61</v>
      </c>
      <c r="I495" s="3">
        <v>507.94</v>
      </c>
      <c r="J495" s="3">
        <v>2</v>
      </c>
      <c r="K495" s="3">
        <v>49.200200000000002</v>
      </c>
    </row>
    <row r="496" spans="1:11" ht="15.6" x14ac:dyDescent="0.3">
      <c r="A496" s="7">
        <v>42257</v>
      </c>
      <c r="B496" s="8">
        <f>YEAR(A496)</f>
        <v>2015</v>
      </c>
      <c r="C496" s="8">
        <f>MONTH(A496)</f>
        <v>9</v>
      </c>
      <c r="D496" s="3" t="s">
        <v>13</v>
      </c>
      <c r="E496" s="3" t="s">
        <v>26</v>
      </c>
      <c r="F496" s="3" t="s">
        <v>30</v>
      </c>
      <c r="G496" s="3" t="s">
        <v>42</v>
      </c>
      <c r="H496" s="3" t="s">
        <v>69</v>
      </c>
      <c r="I496" s="3">
        <v>1134.6600000000001</v>
      </c>
      <c r="J496" s="3">
        <v>3</v>
      </c>
      <c r="K496" s="3">
        <v>196.4331</v>
      </c>
    </row>
    <row r="497" spans="1:11" ht="15.6" x14ac:dyDescent="0.3">
      <c r="A497" s="7">
        <v>42258</v>
      </c>
      <c r="B497" s="8">
        <f>YEAR(A497)</f>
        <v>2015</v>
      </c>
      <c r="C497" s="8">
        <f>MONTH(A497)</f>
        <v>9</v>
      </c>
      <c r="D497" s="3" t="s">
        <v>11</v>
      </c>
      <c r="E497" s="3" t="s">
        <v>22</v>
      </c>
      <c r="F497" s="3" t="s">
        <v>30</v>
      </c>
      <c r="G497" s="3" t="s">
        <v>35</v>
      </c>
      <c r="H497" s="3" t="s">
        <v>59</v>
      </c>
      <c r="I497" s="3">
        <v>194.98</v>
      </c>
      <c r="J497" s="3">
        <v>5</v>
      </c>
      <c r="K497" s="3">
        <v>-64.342399999999998</v>
      </c>
    </row>
    <row r="498" spans="1:11" ht="15.6" x14ac:dyDescent="0.3">
      <c r="A498" s="7">
        <v>42258</v>
      </c>
      <c r="B498" s="8">
        <f>YEAR(A498)</f>
        <v>2015</v>
      </c>
      <c r="C498" s="8">
        <f>MONTH(A498)</f>
        <v>9</v>
      </c>
      <c r="D498" s="3" t="s">
        <v>18</v>
      </c>
      <c r="E498" s="3" t="s">
        <v>22</v>
      </c>
      <c r="F498" s="3" t="s">
        <v>30</v>
      </c>
      <c r="G498" s="3" t="s">
        <v>37</v>
      </c>
      <c r="H498" s="3" t="s">
        <v>64</v>
      </c>
      <c r="I498" s="3">
        <v>608.04</v>
      </c>
      <c r="J498" s="3">
        <v>5</v>
      </c>
      <c r="K498" s="3">
        <v>-45.7958</v>
      </c>
    </row>
    <row r="499" spans="1:11" ht="15.6" x14ac:dyDescent="0.3">
      <c r="A499" s="7">
        <v>42259</v>
      </c>
      <c r="B499" s="8">
        <f>YEAR(A499)</f>
        <v>2015</v>
      </c>
      <c r="C499" s="8">
        <f>MONTH(A499)</f>
        <v>9</v>
      </c>
      <c r="D499" s="3" t="s">
        <v>17</v>
      </c>
      <c r="E499" s="3" t="s">
        <v>19</v>
      </c>
      <c r="F499" s="3" t="s">
        <v>30</v>
      </c>
      <c r="G499" s="3" t="s">
        <v>37</v>
      </c>
      <c r="H499" s="3" t="s">
        <v>51</v>
      </c>
      <c r="I499" s="3">
        <v>1173.1400000000001</v>
      </c>
      <c r="J499" s="3">
        <v>6</v>
      </c>
      <c r="K499" s="3">
        <v>-352.90550000000002</v>
      </c>
    </row>
    <row r="500" spans="1:11" ht="15.6" x14ac:dyDescent="0.3">
      <c r="A500" s="7">
        <v>42260</v>
      </c>
      <c r="B500" s="8">
        <f>YEAR(A500)</f>
        <v>2015</v>
      </c>
      <c r="C500" s="8">
        <f>MONTH(A500)</f>
        <v>9</v>
      </c>
      <c r="D500" s="3" t="s">
        <v>18</v>
      </c>
      <c r="E500" s="3" t="s">
        <v>22</v>
      </c>
      <c r="F500" s="3" t="s">
        <v>29</v>
      </c>
      <c r="G500" s="3" t="s">
        <v>40</v>
      </c>
      <c r="H500" s="3" t="s">
        <v>56</v>
      </c>
      <c r="I500" s="3">
        <v>744.11</v>
      </c>
      <c r="J500" s="3">
        <v>10</v>
      </c>
      <c r="K500" s="3">
        <v>-96.327600000000004</v>
      </c>
    </row>
    <row r="501" spans="1:11" ht="15.6" x14ac:dyDescent="0.3">
      <c r="A501" s="7">
        <v>42261</v>
      </c>
      <c r="B501" s="8">
        <f>YEAR(A501)</f>
        <v>2015</v>
      </c>
      <c r="C501" s="8">
        <f>MONTH(A501)</f>
        <v>9</v>
      </c>
      <c r="D501" s="3" t="s">
        <v>17</v>
      </c>
      <c r="E501" s="3" t="s">
        <v>26</v>
      </c>
      <c r="F501" s="3" t="s">
        <v>30</v>
      </c>
      <c r="G501" s="3" t="s">
        <v>35</v>
      </c>
      <c r="H501" s="3" t="s">
        <v>49</v>
      </c>
      <c r="I501" s="3">
        <v>572.16</v>
      </c>
      <c r="J501" s="3">
        <v>9</v>
      </c>
      <c r="K501" s="3">
        <v>194.5222</v>
      </c>
    </row>
    <row r="502" spans="1:11" ht="15.6" x14ac:dyDescent="0.3">
      <c r="A502" s="7">
        <v>42261</v>
      </c>
      <c r="B502" s="8">
        <f>YEAR(A502)</f>
        <v>2015</v>
      </c>
      <c r="C502" s="8">
        <f>MONTH(A502)</f>
        <v>9</v>
      </c>
      <c r="D502" s="3" t="s">
        <v>12</v>
      </c>
      <c r="E502" s="3" t="s">
        <v>20</v>
      </c>
      <c r="F502" s="3" t="s">
        <v>31</v>
      </c>
      <c r="G502" s="3" t="s">
        <v>34</v>
      </c>
      <c r="H502" s="3" t="s">
        <v>47</v>
      </c>
      <c r="I502" s="3">
        <v>356.31</v>
      </c>
      <c r="J502" s="3">
        <v>1</v>
      </c>
      <c r="K502" s="3">
        <v>68.911299999999997</v>
      </c>
    </row>
    <row r="503" spans="1:11" ht="15.6" x14ac:dyDescent="0.3">
      <c r="A503" s="7">
        <v>42263</v>
      </c>
      <c r="B503" s="8">
        <f>YEAR(A503)</f>
        <v>2015</v>
      </c>
      <c r="C503" s="8">
        <f>MONTH(A503)</f>
        <v>9</v>
      </c>
      <c r="D503" s="3" t="s">
        <v>11</v>
      </c>
      <c r="E503" s="3" t="s">
        <v>24</v>
      </c>
      <c r="F503" s="3" t="s">
        <v>31</v>
      </c>
      <c r="G503" s="3" t="s">
        <v>36</v>
      </c>
      <c r="H503" s="3" t="s">
        <v>50</v>
      </c>
      <c r="I503" s="3">
        <v>929.54</v>
      </c>
      <c r="J503" s="3">
        <v>5</v>
      </c>
      <c r="K503" s="3">
        <v>-50.185499999999998</v>
      </c>
    </row>
    <row r="504" spans="1:11" ht="15.6" x14ac:dyDescent="0.3">
      <c r="A504" s="7">
        <v>42267</v>
      </c>
      <c r="B504" s="8">
        <f>YEAR(A504)</f>
        <v>2015</v>
      </c>
      <c r="C504" s="8">
        <f>MONTH(A504)</f>
        <v>9</v>
      </c>
      <c r="D504" s="3" t="s">
        <v>15</v>
      </c>
      <c r="E504" s="3" t="s">
        <v>20</v>
      </c>
      <c r="F504" s="3" t="s">
        <v>30</v>
      </c>
      <c r="G504" s="3" t="s">
        <v>37</v>
      </c>
      <c r="H504" s="3" t="s">
        <v>51</v>
      </c>
      <c r="I504" s="3">
        <v>537.87</v>
      </c>
      <c r="J504" s="3">
        <v>7</v>
      </c>
      <c r="K504" s="3">
        <v>-147.92310000000001</v>
      </c>
    </row>
    <row r="505" spans="1:11" ht="15.6" x14ac:dyDescent="0.3">
      <c r="A505" s="7">
        <v>42268</v>
      </c>
      <c r="B505" s="8">
        <f>YEAR(A505)</f>
        <v>2015</v>
      </c>
      <c r="C505" s="8">
        <f>MONTH(A505)</f>
        <v>9</v>
      </c>
      <c r="D505" s="3" t="s">
        <v>15</v>
      </c>
      <c r="E505" s="3" t="s">
        <v>21</v>
      </c>
      <c r="F505" s="3" t="s">
        <v>29</v>
      </c>
      <c r="G505" s="3" t="s">
        <v>32</v>
      </c>
      <c r="H505" s="3" t="s">
        <v>52</v>
      </c>
      <c r="I505" s="3">
        <v>695.29</v>
      </c>
      <c r="J505" s="3">
        <v>7</v>
      </c>
      <c r="K505" s="3">
        <v>105.5706</v>
      </c>
    </row>
    <row r="506" spans="1:11" ht="15.6" x14ac:dyDescent="0.3">
      <c r="A506" s="7">
        <v>42270</v>
      </c>
      <c r="B506" s="8">
        <f>YEAR(A506)</f>
        <v>2015</v>
      </c>
      <c r="C506" s="8">
        <f>MONTH(A506)</f>
        <v>9</v>
      </c>
      <c r="D506" s="3" t="s">
        <v>15</v>
      </c>
      <c r="E506" s="3" t="s">
        <v>19</v>
      </c>
      <c r="F506" s="3" t="s">
        <v>31</v>
      </c>
      <c r="G506" s="3" t="s">
        <v>34</v>
      </c>
      <c r="H506" s="3" t="s">
        <v>47</v>
      </c>
      <c r="I506" s="3">
        <v>1173.1400000000001</v>
      </c>
      <c r="J506" s="3">
        <v>9</v>
      </c>
      <c r="K506" s="3">
        <v>-392.18189999999998</v>
      </c>
    </row>
    <row r="507" spans="1:11" ht="15.6" x14ac:dyDescent="0.3">
      <c r="A507" s="7">
        <v>42271</v>
      </c>
      <c r="B507" s="8">
        <f>YEAR(A507)</f>
        <v>2015</v>
      </c>
      <c r="C507" s="8">
        <f>MONTH(A507)</f>
        <v>9</v>
      </c>
      <c r="D507" s="3" t="s">
        <v>17</v>
      </c>
      <c r="E507" s="3" t="s">
        <v>19</v>
      </c>
      <c r="F507" s="3" t="s">
        <v>29</v>
      </c>
      <c r="G507" s="3" t="s">
        <v>32</v>
      </c>
      <c r="H507" s="3" t="s">
        <v>48</v>
      </c>
      <c r="I507" s="3">
        <v>869.32</v>
      </c>
      <c r="J507" s="3">
        <v>7</v>
      </c>
      <c r="K507" s="3">
        <v>-181.8244</v>
      </c>
    </row>
    <row r="508" spans="1:11" ht="15.6" x14ac:dyDescent="0.3">
      <c r="A508" s="7">
        <v>42271</v>
      </c>
      <c r="B508" s="8">
        <f>YEAR(A508)</f>
        <v>2015</v>
      </c>
      <c r="C508" s="8">
        <f>MONTH(A508)</f>
        <v>9</v>
      </c>
      <c r="D508" s="3" t="s">
        <v>15</v>
      </c>
      <c r="E508" s="3" t="s">
        <v>27</v>
      </c>
      <c r="F508" s="3" t="s">
        <v>30</v>
      </c>
      <c r="G508" s="3" t="s">
        <v>42</v>
      </c>
      <c r="H508" s="3" t="s">
        <v>69</v>
      </c>
      <c r="I508" s="3">
        <v>536.46</v>
      </c>
      <c r="J508" s="3">
        <v>5</v>
      </c>
      <c r="K508" s="3">
        <v>-173.45169999999999</v>
      </c>
    </row>
    <row r="509" spans="1:11" ht="15.6" x14ac:dyDescent="0.3">
      <c r="A509" s="7">
        <v>42272</v>
      </c>
      <c r="B509" s="8">
        <f>YEAR(A509)</f>
        <v>2015</v>
      </c>
      <c r="C509" s="8">
        <f>MONTH(A509)</f>
        <v>9</v>
      </c>
      <c r="D509" s="3" t="s">
        <v>13</v>
      </c>
      <c r="E509" s="3" t="s">
        <v>21</v>
      </c>
      <c r="F509" s="3" t="s">
        <v>31</v>
      </c>
      <c r="G509" s="3" t="s">
        <v>39</v>
      </c>
      <c r="H509" s="3" t="s">
        <v>71</v>
      </c>
      <c r="I509" s="3">
        <v>220.41</v>
      </c>
      <c r="J509" s="3">
        <v>4</v>
      </c>
      <c r="K509" s="3">
        <v>-31.673100000000002</v>
      </c>
    </row>
    <row r="510" spans="1:11" ht="15.6" x14ac:dyDescent="0.3">
      <c r="A510" s="7">
        <v>42273</v>
      </c>
      <c r="B510" s="8">
        <f>YEAR(A510)</f>
        <v>2015</v>
      </c>
      <c r="C510" s="8">
        <f>MONTH(A510)</f>
        <v>9</v>
      </c>
      <c r="D510" s="3" t="s">
        <v>11</v>
      </c>
      <c r="E510" s="3" t="s">
        <v>24</v>
      </c>
      <c r="F510" s="3" t="s">
        <v>31</v>
      </c>
      <c r="G510" s="3" t="s">
        <v>38</v>
      </c>
      <c r="H510" s="3" t="s">
        <v>53</v>
      </c>
      <c r="I510" s="3">
        <v>768.54</v>
      </c>
      <c r="J510" s="3">
        <v>6</v>
      </c>
      <c r="K510" s="3">
        <v>213.16829999999999</v>
      </c>
    </row>
    <row r="511" spans="1:11" ht="15.6" x14ac:dyDescent="0.3">
      <c r="A511" s="7">
        <v>42274</v>
      </c>
      <c r="B511" s="8">
        <f>YEAR(A511)</f>
        <v>2015</v>
      </c>
      <c r="C511" s="8">
        <f>MONTH(A511)</f>
        <v>9</v>
      </c>
      <c r="D511" s="3" t="s">
        <v>10</v>
      </c>
      <c r="E511" s="3" t="s">
        <v>26</v>
      </c>
      <c r="F511" s="3" t="s">
        <v>30</v>
      </c>
      <c r="G511" s="3" t="s">
        <v>37</v>
      </c>
      <c r="H511" s="3" t="s">
        <v>64</v>
      </c>
      <c r="I511" s="3">
        <v>99.43</v>
      </c>
      <c r="J511" s="3">
        <v>4</v>
      </c>
      <c r="K511" s="3">
        <v>32.884999999999998</v>
      </c>
    </row>
    <row r="512" spans="1:11" ht="15.6" x14ac:dyDescent="0.3">
      <c r="A512" s="7">
        <v>42275</v>
      </c>
      <c r="B512" s="8">
        <f>YEAR(A512)</f>
        <v>2015</v>
      </c>
      <c r="C512" s="8">
        <f>MONTH(A512)</f>
        <v>9</v>
      </c>
      <c r="D512" s="3" t="s">
        <v>17</v>
      </c>
      <c r="E512" s="3" t="s">
        <v>27</v>
      </c>
      <c r="F512" s="3" t="s">
        <v>30</v>
      </c>
      <c r="G512" s="3" t="s">
        <v>35</v>
      </c>
      <c r="H512" s="3" t="s">
        <v>59</v>
      </c>
      <c r="I512" s="3">
        <v>273.45</v>
      </c>
      <c r="J512" s="3">
        <v>4</v>
      </c>
      <c r="K512" s="3">
        <v>-79.159499999999994</v>
      </c>
    </row>
    <row r="513" spans="1:11" ht="15.6" x14ac:dyDescent="0.3">
      <c r="A513" s="7">
        <v>42275</v>
      </c>
      <c r="B513" s="8">
        <f>YEAR(A513)</f>
        <v>2015</v>
      </c>
      <c r="C513" s="8">
        <f>MONTH(A513)</f>
        <v>9</v>
      </c>
      <c r="D513" s="3" t="s">
        <v>17</v>
      </c>
      <c r="E513" s="3" t="s">
        <v>22</v>
      </c>
      <c r="F513" s="3" t="s">
        <v>29</v>
      </c>
      <c r="G513" s="3" t="s">
        <v>41</v>
      </c>
      <c r="H513" s="3" t="s">
        <v>65</v>
      </c>
      <c r="I513" s="3">
        <v>896.24</v>
      </c>
      <c r="J513" s="3">
        <v>4</v>
      </c>
      <c r="K513" s="3">
        <v>-134.6139</v>
      </c>
    </row>
    <row r="514" spans="1:11" ht="15.6" x14ac:dyDescent="0.3">
      <c r="A514" s="7">
        <v>42275</v>
      </c>
      <c r="B514" s="8">
        <f>YEAR(A514)</f>
        <v>2015</v>
      </c>
      <c r="C514" s="8">
        <f>MONTH(A514)</f>
        <v>9</v>
      </c>
      <c r="D514" s="3" t="s">
        <v>16</v>
      </c>
      <c r="E514" s="3" t="s">
        <v>26</v>
      </c>
      <c r="F514" s="3" t="s">
        <v>30</v>
      </c>
      <c r="G514" s="3" t="s">
        <v>37</v>
      </c>
      <c r="H514" s="3" t="s">
        <v>64</v>
      </c>
      <c r="I514" s="3">
        <v>556.78</v>
      </c>
      <c r="J514" s="3">
        <v>1</v>
      </c>
      <c r="K514" s="3">
        <v>-198.9556</v>
      </c>
    </row>
    <row r="515" spans="1:11" ht="15.6" x14ac:dyDescent="0.3">
      <c r="A515" s="7">
        <v>42275</v>
      </c>
      <c r="B515" s="8">
        <f>YEAR(A515)</f>
        <v>2015</v>
      </c>
      <c r="C515" s="8">
        <f>MONTH(A515)</f>
        <v>9</v>
      </c>
      <c r="D515" s="3" t="s">
        <v>12</v>
      </c>
      <c r="E515" s="3" t="s">
        <v>21</v>
      </c>
      <c r="F515" s="3" t="s">
        <v>31</v>
      </c>
      <c r="G515" s="3" t="s">
        <v>36</v>
      </c>
      <c r="H515" s="3" t="s">
        <v>70</v>
      </c>
      <c r="I515" s="3">
        <v>839.92</v>
      </c>
      <c r="J515" s="3">
        <v>4</v>
      </c>
      <c r="K515" s="3">
        <v>-299.4907</v>
      </c>
    </row>
    <row r="516" spans="1:11" ht="15.6" x14ac:dyDescent="0.3">
      <c r="A516" s="7">
        <v>42275</v>
      </c>
      <c r="B516" s="8">
        <f>YEAR(A516)</f>
        <v>2015</v>
      </c>
      <c r="C516" s="8">
        <f>MONTH(A516)</f>
        <v>9</v>
      </c>
      <c r="D516" s="3" t="s">
        <v>12</v>
      </c>
      <c r="E516" s="3" t="s">
        <v>20</v>
      </c>
      <c r="F516" s="3" t="s">
        <v>31</v>
      </c>
      <c r="G516" s="3" t="s">
        <v>36</v>
      </c>
      <c r="H516" s="3" t="s">
        <v>50</v>
      </c>
      <c r="I516" s="3">
        <v>1084.96</v>
      </c>
      <c r="J516" s="3">
        <v>10</v>
      </c>
      <c r="K516" s="3">
        <v>-327.15339999999998</v>
      </c>
    </row>
    <row r="517" spans="1:11" ht="15.6" x14ac:dyDescent="0.3">
      <c r="A517" s="7">
        <v>42277</v>
      </c>
      <c r="B517" s="8">
        <f>YEAR(A517)</f>
        <v>2015</v>
      </c>
      <c r="C517" s="8">
        <f>MONTH(A517)</f>
        <v>9</v>
      </c>
      <c r="D517" s="3" t="s">
        <v>16</v>
      </c>
      <c r="E517" s="3" t="s">
        <v>27</v>
      </c>
      <c r="F517" s="3" t="s">
        <v>30</v>
      </c>
      <c r="G517" s="3" t="s">
        <v>42</v>
      </c>
      <c r="H517" s="3" t="s">
        <v>69</v>
      </c>
      <c r="I517" s="3">
        <v>134.18</v>
      </c>
      <c r="J517" s="3">
        <v>1</v>
      </c>
      <c r="K517" s="3">
        <v>39.806600000000003</v>
      </c>
    </row>
    <row r="518" spans="1:11" ht="15.6" x14ac:dyDescent="0.3">
      <c r="A518" s="7">
        <v>42277</v>
      </c>
      <c r="B518" s="8">
        <f>YEAR(A518)</f>
        <v>2015</v>
      </c>
      <c r="C518" s="8">
        <f>MONTH(A518)</f>
        <v>9</v>
      </c>
      <c r="D518" s="3" t="s">
        <v>16</v>
      </c>
      <c r="E518" s="3" t="s">
        <v>26</v>
      </c>
      <c r="F518" s="3" t="s">
        <v>31</v>
      </c>
      <c r="G518" s="3" t="s">
        <v>38</v>
      </c>
      <c r="H518" s="3" t="s">
        <v>53</v>
      </c>
      <c r="I518" s="3">
        <v>702.48</v>
      </c>
      <c r="J518" s="3">
        <v>9</v>
      </c>
      <c r="K518" s="3">
        <v>127.5856</v>
      </c>
    </row>
    <row r="519" spans="1:11" ht="15.6" x14ac:dyDescent="0.3">
      <c r="A519" s="7">
        <v>42278</v>
      </c>
      <c r="B519" s="8">
        <f>YEAR(A519)</f>
        <v>2015</v>
      </c>
      <c r="C519" s="8">
        <f>MONTH(A519)</f>
        <v>10</v>
      </c>
      <c r="D519" s="3" t="s">
        <v>14</v>
      </c>
      <c r="E519" s="3" t="s">
        <v>21</v>
      </c>
      <c r="F519" s="3" t="s">
        <v>29</v>
      </c>
      <c r="G519" s="3" t="s">
        <v>40</v>
      </c>
      <c r="H519" s="3" t="s">
        <v>61</v>
      </c>
      <c r="I519" s="3">
        <v>481.8</v>
      </c>
      <c r="J519" s="3">
        <v>6</v>
      </c>
      <c r="K519" s="3">
        <v>-34.412500000000001</v>
      </c>
    </row>
    <row r="520" spans="1:11" ht="15.6" x14ac:dyDescent="0.3">
      <c r="A520" s="7">
        <v>42278</v>
      </c>
      <c r="B520" s="8">
        <f>YEAR(A520)</f>
        <v>2015</v>
      </c>
      <c r="C520" s="8">
        <f>MONTH(A520)</f>
        <v>10</v>
      </c>
      <c r="D520" s="3" t="s">
        <v>18</v>
      </c>
      <c r="E520" s="3" t="s">
        <v>20</v>
      </c>
      <c r="F520" s="3" t="s">
        <v>31</v>
      </c>
      <c r="G520" s="3" t="s">
        <v>34</v>
      </c>
      <c r="H520" s="3" t="s">
        <v>47</v>
      </c>
      <c r="I520" s="3">
        <v>826.02</v>
      </c>
      <c r="J520" s="3">
        <v>8</v>
      </c>
      <c r="K520" s="3">
        <v>-190.476</v>
      </c>
    </row>
    <row r="521" spans="1:11" ht="15.6" x14ac:dyDescent="0.3">
      <c r="A521" s="7">
        <v>42283</v>
      </c>
      <c r="B521" s="8">
        <f>YEAR(A521)</f>
        <v>2015</v>
      </c>
      <c r="C521" s="8">
        <f>MONTH(A521)</f>
        <v>10</v>
      </c>
      <c r="D521" s="3" t="s">
        <v>15</v>
      </c>
      <c r="E521" s="3" t="s">
        <v>26</v>
      </c>
      <c r="F521" s="3" t="s">
        <v>29</v>
      </c>
      <c r="G521" s="3" t="s">
        <v>41</v>
      </c>
      <c r="H521" s="3" t="s">
        <v>65</v>
      </c>
      <c r="I521" s="3">
        <v>217.28</v>
      </c>
      <c r="J521" s="3">
        <v>7</v>
      </c>
      <c r="K521" s="3">
        <v>70.951499999999996</v>
      </c>
    </row>
    <row r="522" spans="1:11" ht="15.6" x14ac:dyDescent="0.3">
      <c r="A522" s="7">
        <v>42286</v>
      </c>
      <c r="B522" s="8">
        <f>YEAR(A522)</f>
        <v>2015</v>
      </c>
      <c r="C522" s="8">
        <f>MONTH(A522)</f>
        <v>10</v>
      </c>
      <c r="D522" s="3" t="s">
        <v>13</v>
      </c>
      <c r="E522" s="3" t="s">
        <v>19</v>
      </c>
      <c r="F522" s="3" t="s">
        <v>31</v>
      </c>
      <c r="G522" s="3" t="s">
        <v>36</v>
      </c>
      <c r="H522" s="3" t="s">
        <v>50</v>
      </c>
      <c r="I522" s="3">
        <v>1154.31</v>
      </c>
      <c r="J522" s="3">
        <v>1</v>
      </c>
      <c r="K522" s="3">
        <v>-377.4325</v>
      </c>
    </row>
    <row r="523" spans="1:11" ht="15.6" x14ac:dyDescent="0.3">
      <c r="A523" s="7">
        <v>42286</v>
      </c>
      <c r="B523" s="8">
        <f>YEAR(A523)</f>
        <v>2015</v>
      </c>
      <c r="C523" s="8">
        <f>MONTH(A523)</f>
        <v>10</v>
      </c>
      <c r="D523" s="3" t="s">
        <v>16</v>
      </c>
      <c r="E523" s="3" t="s">
        <v>21</v>
      </c>
      <c r="F523" s="3" t="s">
        <v>31</v>
      </c>
      <c r="G523" s="3" t="s">
        <v>36</v>
      </c>
      <c r="H523" s="3" t="s">
        <v>70</v>
      </c>
      <c r="I523" s="3">
        <v>885.56</v>
      </c>
      <c r="J523" s="3">
        <v>8</v>
      </c>
      <c r="K523" s="3">
        <v>152.9863</v>
      </c>
    </row>
    <row r="524" spans="1:11" ht="15.6" x14ac:dyDescent="0.3">
      <c r="A524" s="7">
        <v>42288</v>
      </c>
      <c r="B524" s="8">
        <f>YEAR(A524)</f>
        <v>2015</v>
      </c>
      <c r="C524" s="8">
        <f>MONTH(A524)</f>
        <v>10</v>
      </c>
      <c r="D524" s="3" t="s">
        <v>13</v>
      </c>
      <c r="E524" s="3" t="s">
        <v>20</v>
      </c>
      <c r="F524" s="3" t="s">
        <v>31</v>
      </c>
      <c r="G524" s="3" t="s">
        <v>38</v>
      </c>
      <c r="H524" s="3" t="s">
        <v>53</v>
      </c>
      <c r="I524" s="3">
        <v>754.03</v>
      </c>
      <c r="J524" s="3">
        <v>8</v>
      </c>
      <c r="K524" s="3">
        <v>191.74019999999999</v>
      </c>
    </row>
    <row r="525" spans="1:11" ht="15.6" x14ac:dyDescent="0.3">
      <c r="A525" s="7">
        <v>42288</v>
      </c>
      <c r="B525" s="8">
        <f>YEAR(A525)</f>
        <v>2015</v>
      </c>
      <c r="C525" s="8">
        <f>MONTH(A525)</f>
        <v>10</v>
      </c>
      <c r="D525" s="3" t="s">
        <v>17</v>
      </c>
      <c r="E525" s="3" t="s">
        <v>28</v>
      </c>
      <c r="F525" s="3" t="s">
        <v>30</v>
      </c>
      <c r="G525" s="3" t="s">
        <v>35</v>
      </c>
      <c r="H525" s="3" t="s">
        <v>59</v>
      </c>
      <c r="I525" s="3">
        <v>363.18</v>
      </c>
      <c r="J525" s="3">
        <v>5</v>
      </c>
      <c r="K525" s="3">
        <v>104.9141</v>
      </c>
    </row>
    <row r="526" spans="1:11" ht="15.6" x14ac:dyDescent="0.3">
      <c r="A526" s="7">
        <v>42291</v>
      </c>
      <c r="B526" s="8">
        <f>YEAR(A526)</f>
        <v>2015</v>
      </c>
      <c r="C526" s="8">
        <f>MONTH(A526)</f>
        <v>10</v>
      </c>
      <c r="D526" s="3" t="s">
        <v>17</v>
      </c>
      <c r="E526" s="3" t="s">
        <v>22</v>
      </c>
      <c r="F526" s="3" t="s">
        <v>29</v>
      </c>
      <c r="G526" s="3" t="s">
        <v>41</v>
      </c>
      <c r="H526" s="3" t="s">
        <v>57</v>
      </c>
      <c r="I526" s="3">
        <v>1105.6400000000001</v>
      </c>
      <c r="J526" s="3">
        <v>10</v>
      </c>
      <c r="K526" s="3">
        <v>-259.08300000000003</v>
      </c>
    </row>
    <row r="527" spans="1:11" ht="15.6" x14ac:dyDescent="0.3">
      <c r="A527" s="7">
        <v>42292</v>
      </c>
      <c r="B527" s="8">
        <f>YEAR(A527)</f>
        <v>2015</v>
      </c>
      <c r="C527" s="8">
        <f>MONTH(A527)</f>
        <v>10</v>
      </c>
      <c r="D527" s="3" t="s">
        <v>9</v>
      </c>
      <c r="E527" s="3" t="s">
        <v>24</v>
      </c>
      <c r="F527" s="3" t="s">
        <v>29</v>
      </c>
      <c r="G527" s="3" t="s">
        <v>32</v>
      </c>
      <c r="H527" s="3" t="s">
        <v>48</v>
      </c>
      <c r="I527" s="3">
        <v>328.91</v>
      </c>
      <c r="J527" s="3">
        <v>5</v>
      </c>
      <c r="K527" s="3">
        <v>10.052199999999999</v>
      </c>
    </row>
    <row r="528" spans="1:11" ht="15.6" x14ac:dyDescent="0.3">
      <c r="A528" s="7">
        <v>42296</v>
      </c>
      <c r="B528" s="8">
        <f>YEAR(A528)</f>
        <v>2015</v>
      </c>
      <c r="C528" s="8">
        <f>MONTH(A528)</f>
        <v>10</v>
      </c>
      <c r="D528" s="3" t="s">
        <v>18</v>
      </c>
      <c r="E528" s="3" t="s">
        <v>28</v>
      </c>
      <c r="F528" s="3" t="s">
        <v>30</v>
      </c>
      <c r="G528" s="3" t="s">
        <v>42</v>
      </c>
      <c r="H528" s="3" t="s">
        <v>67</v>
      </c>
      <c r="I528" s="3">
        <v>292.87</v>
      </c>
      <c r="J528" s="3">
        <v>5</v>
      </c>
      <c r="K528" s="3">
        <v>-106.0883</v>
      </c>
    </row>
    <row r="529" spans="1:11" ht="15.6" x14ac:dyDescent="0.3">
      <c r="A529" s="7">
        <v>42299</v>
      </c>
      <c r="B529" s="8">
        <f>YEAR(A529)</f>
        <v>2015</v>
      </c>
      <c r="C529" s="8">
        <f>MONTH(A529)</f>
        <v>10</v>
      </c>
      <c r="D529" s="3" t="s">
        <v>11</v>
      </c>
      <c r="E529" s="3" t="s">
        <v>21</v>
      </c>
      <c r="F529" s="3" t="s">
        <v>30</v>
      </c>
      <c r="G529" s="3" t="s">
        <v>37</v>
      </c>
      <c r="H529" s="3" t="s">
        <v>64</v>
      </c>
      <c r="I529" s="3">
        <v>909.43</v>
      </c>
      <c r="J529" s="3">
        <v>9</v>
      </c>
      <c r="K529" s="3">
        <v>-233.78489999999999</v>
      </c>
    </row>
    <row r="530" spans="1:11" ht="15.6" x14ac:dyDescent="0.3">
      <c r="A530" s="7">
        <v>42300</v>
      </c>
      <c r="B530" s="8">
        <f>YEAR(A530)</f>
        <v>2015</v>
      </c>
      <c r="C530" s="8">
        <f>MONTH(A530)</f>
        <v>10</v>
      </c>
      <c r="D530" s="3" t="s">
        <v>10</v>
      </c>
      <c r="E530" s="3" t="s">
        <v>25</v>
      </c>
      <c r="F530" s="3" t="s">
        <v>31</v>
      </c>
      <c r="G530" s="3" t="s">
        <v>43</v>
      </c>
      <c r="H530" s="3" t="s">
        <v>62</v>
      </c>
      <c r="I530" s="3">
        <v>1122.01</v>
      </c>
      <c r="J530" s="3">
        <v>4</v>
      </c>
      <c r="K530" s="3">
        <v>-157.62299999999999</v>
      </c>
    </row>
    <row r="531" spans="1:11" ht="15.6" x14ac:dyDescent="0.3">
      <c r="A531" s="7">
        <v>42300</v>
      </c>
      <c r="B531" s="8">
        <f>YEAR(A531)</f>
        <v>2015</v>
      </c>
      <c r="C531" s="8">
        <f>MONTH(A531)</f>
        <v>10</v>
      </c>
      <c r="D531" s="3" t="s">
        <v>13</v>
      </c>
      <c r="E531" s="3" t="s">
        <v>26</v>
      </c>
      <c r="F531" s="3" t="s">
        <v>30</v>
      </c>
      <c r="G531" s="3" t="s">
        <v>37</v>
      </c>
      <c r="H531" s="3" t="s">
        <v>51</v>
      </c>
      <c r="I531" s="3">
        <v>168.06</v>
      </c>
      <c r="J531" s="3">
        <v>3</v>
      </c>
      <c r="K531" s="3">
        <v>25.0853</v>
      </c>
    </row>
    <row r="532" spans="1:11" ht="15.6" x14ac:dyDescent="0.3">
      <c r="A532" s="7">
        <v>42303</v>
      </c>
      <c r="B532" s="8">
        <f>YEAR(A532)</f>
        <v>2015</v>
      </c>
      <c r="C532" s="8">
        <f>MONTH(A532)</f>
        <v>10</v>
      </c>
      <c r="D532" s="3" t="s">
        <v>12</v>
      </c>
      <c r="E532" s="3" t="s">
        <v>27</v>
      </c>
      <c r="F532" s="3" t="s">
        <v>30</v>
      </c>
      <c r="G532" s="3" t="s">
        <v>42</v>
      </c>
      <c r="H532" s="3" t="s">
        <v>58</v>
      </c>
      <c r="I532" s="3">
        <v>588.88</v>
      </c>
      <c r="J532" s="3">
        <v>2</v>
      </c>
      <c r="K532" s="3">
        <v>174.7937</v>
      </c>
    </row>
    <row r="533" spans="1:11" ht="15.6" x14ac:dyDescent="0.3">
      <c r="A533" s="7">
        <v>42303</v>
      </c>
      <c r="B533" s="8">
        <f>YEAR(A533)</f>
        <v>2015</v>
      </c>
      <c r="C533" s="8">
        <f>MONTH(A533)</f>
        <v>10</v>
      </c>
      <c r="D533" s="3" t="s">
        <v>17</v>
      </c>
      <c r="E533" s="3" t="s">
        <v>24</v>
      </c>
      <c r="F533" s="3" t="s">
        <v>31</v>
      </c>
      <c r="G533" s="3" t="s">
        <v>39</v>
      </c>
      <c r="H533" s="3" t="s">
        <v>71</v>
      </c>
      <c r="I533" s="3">
        <v>831.6</v>
      </c>
      <c r="J533" s="3">
        <v>3</v>
      </c>
      <c r="K533" s="3">
        <v>115.41030000000001</v>
      </c>
    </row>
    <row r="534" spans="1:11" ht="15.6" x14ac:dyDescent="0.3">
      <c r="A534" s="7">
        <v>42307</v>
      </c>
      <c r="B534" s="8">
        <f>YEAR(A534)</f>
        <v>2015</v>
      </c>
      <c r="C534" s="8">
        <f>MONTH(A534)</f>
        <v>10</v>
      </c>
      <c r="D534" s="3" t="s">
        <v>9</v>
      </c>
      <c r="E534" s="3" t="s">
        <v>26</v>
      </c>
      <c r="F534" s="3" t="s">
        <v>30</v>
      </c>
      <c r="G534" s="3" t="s">
        <v>35</v>
      </c>
      <c r="H534" s="3" t="s">
        <v>66</v>
      </c>
      <c r="I534" s="3">
        <v>240.5</v>
      </c>
      <c r="J534" s="3">
        <v>2</v>
      </c>
      <c r="K534" s="3">
        <v>-48.878</v>
      </c>
    </row>
    <row r="535" spans="1:11" ht="15.6" x14ac:dyDescent="0.3">
      <c r="A535" s="7">
        <v>42307</v>
      </c>
      <c r="B535" s="8">
        <f>YEAR(A535)</f>
        <v>2015</v>
      </c>
      <c r="C535" s="8">
        <f>MONTH(A535)</f>
        <v>10</v>
      </c>
      <c r="D535" s="3" t="s">
        <v>9</v>
      </c>
      <c r="E535" s="3" t="s">
        <v>27</v>
      </c>
      <c r="F535" s="3" t="s">
        <v>30</v>
      </c>
      <c r="G535" s="3" t="s">
        <v>42</v>
      </c>
      <c r="H535" s="3" t="s">
        <v>58</v>
      </c>
      <c r="I535" s="3">
        <v>49.67</v>
      </c>
      <c r="J535" s="3">
        <v>7</v>
      </c>
      <c r="K535" s="3">
        <v>1.2932999999999999</v>
      </c>
    </row>
    <row r="536" spans="1:11" ht="15.6" x14ac:dyDescent="0.3">
      <c r="A536" s="7">
        <v>42310</v>
      </c>
      <c r="B536" s="8">
        <f>YEAR(A536)</f>
        <v>2015</v>
      </c>
      <c r="C536" s="8">
        <f>MONTH(A536)</f>
        <v>11</v>
      </c>
      <c r="D536" s="3" t="s">
        <v>13</v>
      </c>
      <c r="E536" s="3" t="s">
        <v>20</v>
      </c>
      <c r="F536" s="3" t="s">
        <v>29</v>
      </c>
      <c r="G536" s="3" t="s">
        <v>41</v>
      </c>
      <c r="H536" s="3" t="s">
        <v>65</v>
      </c>
      <c r="I536" s="3">
        <v>595.67999999999995</v>
      </c>
      <c r="J536" s="3">
        <v>1</v>
      </c>
      <c r="K536" s="3">
        <v>-197.82550000000001</v>
      </c>
    </row>
    <row r="537" spans="1:11" ht="15.6" x14ac:dyDescent="0.3">
      <c r="A537" s="7">
        <v>42311</v>
      </c>
      <c r="B537" s="8">
        <f>YEAR(A537)</f>
        <v>2015</v>
      </c>
      <c r="C537" s="8">
        <f>MONTH(A537)</f>
        <v>11</v>
      </c>
      <c r="D537" s="3" t="s">
        <v>18</v>
      </c>
      <c r="E537" s="3" t="s">
        <v>21</v>
      </c>
      <c r="F537" s="3" t="s">
        <v>31</v>
      </c>
      <c r="G537" s="3" t="s">
        <v>43</v>
      </c>
      <c r="H537" s="3" t="s">
        <v>62</v>
      </c>
      <c r="I537" s="3">
        <v>1117.99</v>
      </c>
      <c r="J537" s="3">
        <v>6</v>
      </c>
      <c r="K537" s="3">
        <v>-310.9393</v>
      </c>
    </row>
    <row r="538" spans="1:11" ht="15.6" x14ac:dyDescent="0.3">
      <c r="A538" s="7">
        <v>42311</v>
      </c>
      <c r="B538" s="8">
        <f>YEAR(A538)</f>
        <v>2015</v>
      </c>
      <c r="C538" s="8">
        <f>MONTH(A538)</f>
        <v>11</v>
      </c>
      <c r="D538" s="3" t="s">
        <v>10</v>
      </c>
      <c r="E538" s="3" t="s">
        <v>21</v>
      </c>
      <c r="F538" s="3" t="s">
        <v>30</v>
      </c>
      <c r="G538" s="3" t="s">
        <v>35</v>
      </c>
      <c r="H538" s="3" t="s">
        <v>49</v>
      </c>
      <c r="I538" s="3">
        <v>1026.1099999999999</v>
      </c>
      <c r="J538" s="3">
        <v>8</v>
      </c>
      <c r="K538" s="3">
        <v>-320.98770000000002</v>
      </c>
    </row>
    <row r="539" spans="1:11" ht="15.6" x14ac:dyDescent="0.3">
      <c r="A539" s="7">
        <v>42311</v>
      </c>
      <c r="B539" s="8">
        <f>YEAR(A539)</f>
        <v>2015</v>
      </c>
      <c r="C539" s="8">
        <f>MONTH(A539)</f>
        <v>11</v>
      </c>
      <c r="D539" s="3" t="s">
        <v>17</v>
      </c>
      <c r="E539" s="3" t="s">
        <v>26</v>
      </c>
      <c r="F539" s="3" t="s">
        <v>30</v>
      </c>
      <c r="G539" s="3" t="s">
        <v>37</v>
      </c>
      <c r="H539" s="3" t="s">
        <v>64</v>
      </c>
      <c r="I539" s="3">
        <v>300.37</v>
      </c>
      <c r="J539" s="3">
        <v>5</v>
      </c>
      <c r="K539" s="3">
        <v>76.485799999999998</v>
      </c>
    </row>
    <row r="540" spans="1:11" ht="15.6" x14ac:dyDescent="0.3">
      <c r="A540" s="7">
        <v>42312</v>
      </c>
      <c r="B540" s="8">
        <f>YEAR(A540)</f>
        <v>2015</v>
      </c>
      <c r="C540" s="8">
        <f>MONTH(A540)</f>
        <v>11</v>
      </c>
      <c r="D540" s="3" t="s">
        <v>10</v>
      </c>
      <c r="E540" s="3" t="s">
        <v>24</v>
      </c>
      <c r="F540" s="3" t="s">
        <v>29</v>
      </c>
      <c r="G540" s="3" t="s">
        <v>41</v>
      </c>
      <c r="H540" s="3" t="s">
        <v>57</v>
      </c>
      <c r="I540" s="3">
        <v>930.37</v>
      </c>
      <c r="J540" s="3">
        <v>10</v>
      </c>
      <c r="K540" s="3">
        <v>-370.1694</v>
      </c>
    </row>
    <row r="541" spans="1:11" ht="15.6" x14ac:dyDescent="0.3">
      <c r="A541" s="7">
        <v>42312</v>
      </c>
      <c r="B541" s="8">
        <f>YEAR(A541)</f>
        <v>2015</v>
      </c>
      <c r="C541" s="8">
        <f>MONTH(A541)</f>
        <v>11</v>
      </c>
      <c r="D541" s="3" t="s">
        <v>9</v>
      </c>
      <c r="E541" s="3" t="s">
        <v>23</v>
      </c>
      <c r="F541" s="3" t="s">
        <v>29</v>
      </c>
      <c r="G541" s="3" t="s">
        <v>32</v>
      </c>
      <c r="H541" s="3" t="s">
        <v>48</v>
      </c>
      <c r="I541" s="3">
        <v>976.76</v>
      </c>
      <c r="J541" s="3">
        <v>9</v>
      </c>
      <c r="K541" s="3">
        <v>-322.2432</v>
      </c>
    </row>
    <row r="542" spans="1:11" ht="15.6" x14ac:dyDescent="0.3">
      <c r="A542" s="7">
        <v>42313</v>
      </c>
      <c r="B542" s="8">
        <f>YEAR(A542)</f>
        <v>2015</v>
      </c>
      <c r="C542" s="8">
        <f>MONTH(A542)</f>
        <v>11</v>
      </c>
      <c r="D542" s="3" t="s">
        <v>17</v>
      </c>
      <c r="E542" s="3" t="s">
        <v>27</v>
      </c>
      <c r="F542" s="3" t="s">
        <v>29</v>
      </c>
      <c r="G542" s="3" t="s">
        <v>32</v>
      </c>
      <c r="H542" s="3" t="s">
        <v>52</v>
      </c>
      <c r="I542" s="3">
        <v>198.92</v>
      </c>
      <c r="J542" s="3">
        <v>8</v>
      </c>
      <c r="K542" s="3">
        <v>51.138199999999998</v>
      </c>
    </row>
    <row r="543" spans="1:11" ht="15.6" x14ac:dyDescent="0.3">
      <c r="A543" s="7">
        <v>42315</v>
      </c>
      <c r="B543" s="8">
        <f>YEAR(A543)</f>
        <v>2015</v>
      </c>
      <c r="C543" s="8">
        <f>MONTH(A543)</f>
        <v>11</v>
      </c>
      <c r="D543" s="3" t="s">
        <v>15</v>
      </c>
      <c r="E543" s="3" t="s">
        <v>26</v>
      </c>
      <c r="F543" s="3" t="s">
        <v>30</v>
      </c>
      <c r="G543" s="3" t="s">
        <v>37</v>
      </c>
      <c r="H543" s="3" t="s">
        <v>64</v>
      </c>
      <c r="I543" s="3">
        <v>117.93</v>
      </c>
      <c r="J543" s="3">
        <v>7</v>
      </c>
      <c r="K543" s="3">
        <v>-22.039899999999999</v>
      </c>
    </row>
    <row r="544" spans="1:11" ht="15.6" x14ac:dyDescent="0.3">
      <c r="A544" s="7">
        <v>42315</v>
      </c>
      <c r="B544" s="8">
        <f>YEAR(A544)</f>
        <v>2015</v>
      </c>
      <c r="C544" s="8">
        <f>MONTH(A544)</f>
        <v>11</v>
      </c>
      <c r="D544" s="3" t="s">
        <v>17</v>
      </c>
      <c r="E544" s="3" t="s">
        <v>22</v>
      </c>
      <c r="F544" s="3" t="s">
        <v>31</v>
      </c>
      <c r="G544" s="3" t="s">
        <v>43</v>
      </c>
      <c r="H544" s="3" t="s">
        <v>62</v>
      </c>
      <c r="I544" s="3">
        <v>279.87</v>
      </c>
      <c r="J544" s="3">
        <v>10</v>
      </c>
      <c r="K544" s="3">
        <v>62.976900000000001</v>
      </c>
    </row>
    <row r="545" spans="1:11" ht="15.6" x14ac:dyDescent="0.3">
      <c r="A545" s="7">
        <v>42316</v>
      </c>
      <c r="B545" s="8">
        <f>YEAR(A545)</f>
        <v>2015</v>
      </c>
      <c r="C545" s="8">
        <f>MONTH(A545)</f>
        <v>11</v>
      </c>
      <c r="D545" s="3" t="s">
        <v>12</v>
      </c>
      <c r="E545" s="3" t="s">
        <v>22</v>
      </c>
      <c r="F545" s="3" t="s">
        <v>30</v>
      </c>
      <c r="G545" s="3" t="s">
        <v>37</v>
      </c>
      <c r="H545" s="3" t="s">
        <v>64</v>
      </c>
      <c r="I545" s="3">
        <v>777.81</v>
      </c>
      <c r="J545" s="3">
        <v>8</v>
      </c>
      <c r="K545" s="3">
        <v>183.05760000000001</v>
      </c>
    </row>
    <row r="546" spans="1:11" ht="15.6" x14ac:dyDescent="0.3">
      <c r="A546" s="7">
        <v>42318</v>
      </c>
      <c r="B546" s="8">
        <f>YEAR(A546)</f>
        <v>2015</v>
      </c>
      <c r="C546" s="8">
        <f>MONTH(A546)</f>
        <v>11</v>
      </c>
      <c r="D546" s="3" t="s">
        <v>18</v>
      </c>
      <c r="E546" s="3" t="s">
        <v>28</v>
      </c>
      <c r="F546" s="3" t="s">
        <v>29</v>
      </c>
      <c r="G546" s="3" t="s">
        <v>32</v>
      </c>
      <c r="H546" s="3" t="s">
        <v>48</v>
      </c>
      <c r="I546" s="3">
        <v>508.11</v>
      </c>
      <c r="J546" s="3">
        <v>5</v>
      </c>
      <c r="K546" s="3">
        <v>-93.031700000000001</v>
      </c>
    </row>
    <row r="547" spans="1:11" ht="15.6" x14ac:dyDescent="0.3">
      <c r="A547" s="7">
        <v>42319</v>
      </c>
      <c r="B547" s="8">
        <f>YEAR(A547)</f>
        <v>2015</v>
      </c>
      <c r="C547" s="8">
        <f>MONTH(A547)</f>
        <v>11</v>
      </c>
      <c r="D547" s="3" t="s">
        <v>17</v>
      </c>
      <c r="E547" s="3" t="s">
        <v>19</v>
      </c>
      <c r="F547" s="3" t="s">
        <v>29</v>
      </c>
      <c r="G547" s="3" t="s">
        <v>40</v>
      </c>
      <c r="H547" s="3" t="s">
        <v>56</v>
      </c>
      <c r="I547" s="3">
        <v>1159.03</v>
      </c>
      <c r="J547" s="3">
        <v>7</v>
      </c>
      <c r="K547" s="3">
        <v>-371.51729999999998</v>
      </c>
    </row>
    <row r="548" spans="1:11" ht="15.6" x14ac:dyDescent="0.3">
      <c r="A548" s="7">
        <v>42319</v>
      </c>
      <c r="B548" s="8">
        <f>YEAR(A548)</f>
        <v>2015</v>
      </c>
      <c r="C548" s="8">
        <f>MONTH(A548)</f>
        <v>11</v>
      </c>
      <c r="D548" s="3" t="s">
        <v>14</v>
      </c>
      <c r="E548" s="3" t="s">
        <v>22</v>
      </c>
      <c r="F548" s="3" t="s">
        <v>31</v>
      </c>
      <c r="G548" s="3" t="s">
        <v>34</v>
      </c>
      <c r="H548" s="3" t="s">
        <v>46</v>
      </c>
      <c r="I548" s="3">
        <v>1054.07</v>
      </c>
      <c r="J548" s="3">
        <v>8</v>
      </c>
      <c r="K548" s="3">
        <v>-69.549099999999996</v>
      </c>
    </row>
    <row r="549" spans="1:11" ht="15.6" x14ac:dyDescent="0.3">
      <c r="A549" s="7">
        <v>42322</v>
      </c>
      <c r="B549" s="8">
        <f>YEAR(A549)</f>
        <v>2015</v>
      </c>
      <c r="C549" s="8">
        <f>MONTH(A549)</f>
        <v>11</v>
      </c>
      <c r="D549" s="3" t="s">
        <v>10</v>
      </c>
      <c r="E549" s="3" t="s">
        <v>27</v>
      </c>
      <c r="F549" s="3" t="s">
        <v>30</v>
      </c>
      <c r="G549" s="3" t="s">
        <v>42</v>
      </c>
      <c r="H549" s="3" t="s">
        <v>58</v>
      </c>
      <c r="I549" s="3">
        <v>412.93</v>
      </c>
      <c r="J549" s="3">
        <v>10</v>
      </c>
      <c r="K549" s="3">
        <v>25.599599999999999</v>
      </c>
    </row>
    <row r="550" spans="1:11" ht="15.6" x14ac:dyDescent="0.3">
      <c r="A550" s="7">
        <v>42324</v>
      </c>
      <c r="B550" s="8">
        <f>YEAR(A550)</f>
        <v>2015</v>
      </c>
      <c r="C550" s="8">
        <f>MONTH(A550)</f>
        <v>11</v>
      </c>
      <c r="D550" s="3" t="s">
        <v>15</v>
      </c>
      <c r="E550" s="3" t="s">
        <v>23</v>
      </c>
      <c r="F550" s="3" t="s">
        <v>30</v>
      </c>
      <c r="G550" s="3" t="s">
        <v>33</v>
      </c>
      <c r="H550" s="3" t="s">
        <v>55</v>
      </c>
      <c r="I550" s="3">
        <v>742.1</v>
      </c>
      <c r="J550" s="3">
        <v>8</v>
      </c>
      <c r="K550" s="3">
        <v>-272.73059999999998</v>
      </c>
    </row>
    <row r="551" spans="1:11" ht="15.6" x14ac:dyDescent="0.3">
      <c r="A551" s="7">
        <v>42326</v>
      </c>
      <c r="B551" s="8">
        <f>YEAR(A551)</f>
        <v>2015</v>
      </c>
      <c r="C551" s="8">
        <f>MONTH(A551)</f>
        <v>11</v>
      </c>
      <c r="D551" s="3" t="s">
        <v>11</v>
      </c>
      <c r="E551" s="3" t="s">
        <v>23</v>
      </c>
      <c r="F551" s="3" t="s">
        <v>29</v>
      </c>
      <c r="G551" s="3" t="s">
        <v>40</v>
      </c>
      <c r="H551" s="3" t="s">
        <v>61</v>
      </c>
      <c r="I551" s="3">
        <v>345.05</v>
      </c>
      <c r="J551" s="3">
        <v>9</v>
      </c>
      <c r="K551" s="3">
        <v>-2.3329</v>
      </c>
    </row>
    <row r="552" spans="1:11" ht="15.6" x14ac:dyDescent="0.3">
      <c r="A552" s="7">
        <v>42326</v>
      </c>
      <c r="B552" s="8">
        <f>YEAR(A552)</f>
        <v>2015</v>
      </c>
      <c r="C552" s="8">
        <f>MONTH(A552)</f>
        <v>11</v>
      </c>
      <c r="D552" s="3" t="s">
        <v>12</v>
      </c>
      <c r="E552" s="3" t="s">
        <v>23</v>
      </c>
      <c r="F552" s="3" t="s">
        <v>29</v>
      </c>
      <c r="G552" s="3" t="s">
        <v>41</v>
      </c>
      <c r="H552" s="3" t="s">
        <v>57</v>
      </c>
      <c r="I552" s="3">
        <v>969.49</v>
      </c>
      <c r="J552" s="3">
        <v>5</v>
      </c>
      <c r="K552" s="3">
        <v>-6.8924000000000003</v>
      </c>
    </row>
    <row r="553" spans="1:11" ht="15.6" x14ac:dyDescent="0.3">
      <c r="A553" s="7">
        <v>42326</v>
      </c>
      <c r="B553" s="8">
        <f>YEAR(A553)</f>
        <v>2015</v>
      </c>
      <c r="C553" s="8">
        <f>MONTH(A553)</f>
        <v>11</v>
      </c>
      <c r="D553" s="3" t="s">
        <v>18</v>
      </c>
      <c r="E553" s="3" t="s">
        <v>25</v>
      </c>
      <c r="F553" s="3" t="s">
        <v>29</v>
      </c>
      <c r="G553" s="3" t="s">
        <v>32</v>
      </c>
      <c r="H553" s="3" t="s">
        <v>48</v>
      </c>
      <c r="I553" s="3">
        <v>557.65</v>
      </c>
      <c r="J553" s="3">
        <v>7</v>
      </c>
      <c r="K553" s="3">
        <v>164.97659999999999</v>
      </c>
    </row>
    <row r="554" spans="1:11" ht="15.6" x14ac:dyDescent="0.3">
      <c r="A554" s="7">
        <v>42326</v>
      </c>
      <c r="B554" s="8">
        <f>YEAR(A554)</f>
        <v>2015</v>
      </c>
      <c r="C554" s="8">
        <f>MONTH(A554)</f>
        <v>11</v>
      </c>
      <c r="D554" s="3" t="s">
        <v>10</v>
      </c>
      <c r="E554" s="3" t="s">
        <v>27</v>
      </c>
      <c r="F554" s="3" t="s">
        <v>31</v>
      </c>
      <c r="G554" s="3" t="s">
        <v>38</v>
      </c>
      <c r="H554" s="3" t="s">
        <v>53</v>
      </c>
      <c r="I554" s="3">
        <v>328.04</v>
      </c>
      <c r="J554" s="3">
        <v>2</v>
      </c>
      <c r="K554" s="3">
        <v>-68.393699999999995</v>
      </c>
    </row>
    <row r="555" spans="1:11" ht="15.6" x14ac:dyDescent="0.3">
      <c r="A555" s="7">
        <v>42329</v>
      </c>
      <c r="B555" s="8">
        <f>YEAR(A555)</f>
        <v>2015</v>
      </c>
      <c r="C555" s="8">
        <f>MONTH(A555)</f>
        <v>11</v>
      </c>
      <c r="D555" s="3" t="s">
        <v>17</v>
      </c>
      <c r="E555" s="3" t="s">
        <v>20</v>
      </c>
      <c r="F555" s="3" t="s">
        <v>29</v>
      </c>
      <c r="G555" s="3" t="s">
        <v>40</v>
      </c>
      <c r="H555" s="3" t="s">
        <v>61</v>
      </c>
      <c r="I555" s="3">
        <v>331.67</v>
      </c>
      <c r="J555" s="3">
        <v>10</v>
      </c>
      <c r="K555" s="3">
        <v>66.628900000000002</v>
      </c>
    </row>
    <row r="556" spans="1:11" ht="15.6" x14ac:dyDescent="0.3">
      <c r="A556" s="7">
        <v>42333</v>
      </c>
      <c r="B556" s="8">
        <f>YEAR(A556)</f>
        <v>2015</v>
      </c>
      <c r="C556" s="8">
        <f>MONTH(A556)</f>
        <v>11</v>
      </c>
      <c r="D556" s="3" t="s">
        <v>9</v>
      </c>
      <c r="E556" s="3" t="s">
        <v>25</v>
      </c>
      <c r="F556" s="3" t="s">
        <v>30</v>
      </c>
      <c r="G556" s="3" t="s">
        <v>37</v>
      </c>
      <c r="H556" s="3" t="s">
        <v>64</v>
      </c>
      <c r="I556" s="3">
        <v>244.31</v>
      </c>
      <c r="J556" s="3">
        <v>7</v>
      </c>
      <c r="K556" s="3">
        <v>-75.23</v>
      </c>
    </row>
    <row r="557" spans="1:11" ht="15.6" x14ac:dyDescent="0.3">
      <c r="A557" s="7">
        <v>42336</v>
      </c>
      <c r="B557" s="8">
        <f>YEAR(A557)</f>
        <v>2015</v>
      </c>
      <c r="C557" s="8">
        <f>MONTH(A557)</f>
        <v>11</v>
      </c>
      <c r="D557" s="3" t="s">
        <v>11</v>
      </c>
      <c r="E557" s="3" t="s">
        <v>20</v>
      </c>
      <c r="F557" s="3" t="s">
        <v>29</v>
      </c>
      <c r="G557" s="3" t="s">
        <v>40</v>
      </c>
      <c r="H557" s="3" t="s">
        <v>56</v>
      </c>
      <c r="I557" s="3">
        <v>138.30000000000001</v>
      </c>
      <c r="J557" s="3">
        <v>7</v>
      </c>
      <c r="K557" s="3">
        <v>-38.915100000000002</v>
      </c>
    </row>
    <row r="558" spans="1:11" ht="15.6" x14ac:dyDescent="0.3">
      <c r="A558" s="7">
        <v>42336</v>
      </c>
      <c r="B558" s="8">
        <f>YEAR(A558)</f>
        <v>2015</v>
      </c>
      <c r="C558" s="8">
        <f>MONTH(A558)</f>
        <v>11</v>
      </c>
      <c r="D558" s="3" t="s">
        <v>10</v>
      </c>
      <c r="E558" s="3" t="s">
        <v>20</v>
      </c>
      <c r="F558" s="3" t="s">
        <v>29</v>
      </c>
      <c r="G558" s="3" t="s">
        <v>41</v>
      </c>
      <c r="H558" s="3" t="s">
        <v>65</v>
      </c>
      <c r="I558" s="3">
        <v>1136.68</v>
      </c>
      <c r="J558" s="3">
        <v>9</v>
      </c>
      <c r="K558" s="3">
        <v>360.9323</v>
      </c>
    </row>
    <row r="559" spans="1:11" ht="15.6" x14ac:dyDescent="0.3">
      <c r="A559" s="7">
        <v>42337</v>
      </c>
      <c r="B559" s="8">
        <f>YEAR(A559)</f>
        <v>2015</v>
      </c>
      <c r="C559" s="8">
        <f>MONTH(A559)</f>
        <v>11</v>
      </c>
      <c r="D559" s="3" t="s">
        <v>11</v>
      </c>
      <c r="E559" s="3" t="s">
        <v>27</v>
      </c>
      <c r="F559" s="3" t="s">
        <v>29</v>
      </c>
      <c r="G559" s="3" t="s">
        <v>41</v>
      </c>
      <c r="H559" s="3" t="s">
        <v>57</v>
      </c>
      <c r="I559" s="3">
        <v>861.74</v>
      </c>
      <c r="J559" s="3">
        <v>6</v>
      </c>
      <c r="K559" s="3">
        <v>-306.2047</v>
      </c>
    </row>
    <row r="560" spans="1:11" ht="15.6" x14ac:dyDescent="0.3">
      <c r="A560" s="7">
        <v>42337</v>
      </c>
      <c r="B560" s="8">
        <f>YEAR(A560)</f>
        <v>2015</v>
      </c>
      <c r="C560" s="8">
        <f>MONTH(A560)</f>
        <v>11</v>
      </c>
      <c r="D560" s="3" t="s">
        <v>9</v>
      </c>
      <c r="E560" s="3" t="s">
        <v>21</v>
      </c>
      <c r="F560" s="3" t="s">
        <v>29</v>
      </c>
      <c r="G560" s="3" t="s">
        <v>32</v>
      </c>
      <c r="H560" s="3" t="s">
        <v>48</v>
      </c>
      <c r="I560" s="3">
        <v>909.67</v>
      </c>
      <c r="J560" s="3">
        <v>3</v>
      </c>
      <c r="K560" s="3">
        <v>-347.88850000000002</v>
      </c>
    </row>
    <row r="561" spans="1:11" ht="15.6" x14ac:dyDescent="0.3">
      <c r="A561" s="7">
        <v>42341</v>
      </c>
      <c r="B561" s="8">
        <f>YEAR(A561)</f>
        <v>2015</v>
      </c>
      <c r="C561" s="8">
        <f>MONTH(A561)</f>
        <v>12</v>
      </c>
      <c r="D561" s="3" t="s">
        <v>13</v>
      </c>
      <c r="E561" s="3" t="s">
        <v>19</v>
      </c>
      <c r="F561" s="3" t="s">
        <v>30</v>
      </c>
      <c r="G561" s="3" t="s">
        <v>35</v>
      </c>
      <c r="H561" s="3" t="s">
        <v>49</v>
      </c>
      <c r="I561" s="3">
        <v>493.98</v>
      </c>
      <c r="J561" s="3">
        <v>10</v>
      </c>
      <c r="K561" s="3">
        <v>133.19370000000001</v>
      </c>
    </row>
    <row r="562" spans="1:11" ht="15.6" x14ac:dyDescent="0.3">
      <c r="A562" s="7">
        <v>42342</v>
      </c>
      <c r="B562" s="8">
        <f>YEAR(A562)</f>
        <v>2015</v>
      </c>
      <c r="C562" s="8">
        <f>MONTH(A562)</f>
        <v>12</v>
      </c>
      <c r="D562" s="3" t="s">
        <v>12</v>
      </c>
      <c r="E562" s="3" t="s">
        <v>23</v>
      </c>
      <c r="F562" s="3" t="s">
        <v>31</v>
      </c>
      <c r="G562" s="3" t="s">
        <v>38</v>
      </c>
      <c r="H562" s="3" t="s">
        <v>63</v>
      </c>
      <c r="I562" s="3">
        <v>248.3</v>
      </c>
      <c r="J562" s="3">
        <v>5</v>
      </c>
      <c r="K562" s="3">
        <v>-5.2001999999999997</v>
      </c>
    </row>
    <row r="563" spans="1:11" ht="15.6" x14ac:dyDescent="0.3">
      <c r="A563" s="7">
        <v>42344</v>
      </c>
      <c r="B563" s="8">
        <f>YEAR(A563)</f>
        <v>2015</v>
      </c>
      <c r="C563" s="8">
        <f>MONTH(A563)</f>
        <v>12</v>
      </c>
      <c r="D563" s="3" t="s">
        <v>15</v>
      </c>
      <c r="E563" s="3" t="s">
        <v>23</v>
      </c>
      <c r="F563" s="3" t="s">
        <v>31</v>
      </c>
      <c r="G563" s="3" t="s">
        <v>34</v>
      </c>
      <c r="H563" s="3" t="s">
        <v>47</v>
      </c>
      <c r="I563" s="3">
        <v>28.7</v>
      </c>
      <c r="J563" s="3">
        <v>2</v>
      </c>
      <c r="K563" s="3">
        <v>-3.9228000000000001</v>
      </c>
    </row>
    <row r="564" spans="1:11" ht="15.6" x14ac:dyDescent="0.3">
      <c r="A564" s="7">
        <v>42344</v>
      </c>
      <c r="B564" s="8">
        <f>YEAR(A564)</f>
        <v>2015</v>
      </c>
      <c r="C564" s="8">
        <f>MONTH(A564)</f>
        <v>12</v>
      </c>
      <c r="D564" s="3" t="s">
        <v>12</v>
      </c>
      <c r="E564" s="3" t="s">
        <v>19</v>
      </c>
      <c r="F564" s="3" t="s">
        <v>30</v>
      </c>
      <c r="G564" s="3" t="s">
        <v>42</v>
      </c>
      <c r="H564" s="3" t="s">
        <v>67</v>
      </c>
      <c r="I564" s="3">
        <v>238.51</v>
      </c>
      <c r="J564" s="3">
        <v>4</v>
      </c>
      <c r="K564" s="3">
        <v>19.18</v>
      </c>
    </row>
    <row r="565" spans="1:11" ht="15.6" x14ac:dyDescent="0.3">
      <c r="A565" s="7">
        <v>42345</v>
      </c>
      <c r="B565" s="8">
        <f>YEAR(A565)</f>
        <v>2015</v>
      </c>
      <c r="C565" s="8">
        <f>MONTH(A565)</f>
        <v>12</v>
      </c>
      <c r="D565" s="3" t="s">
        <v>12</v>
      </c>
      <c r="E565" s="3" t="s">
        <v>22</v>
      </c>
      <c r="F565" s="3" t="s">
        <v>29</v>
      </c>
      <c r="G565" s="3" t="s">
        <v>32</v>
      </c>
      <c r="H565" s="3" t="s">
        <v>44</v>
      </c>
      <c r="I565" s="3">
        <v>1130.2</v>
      </c>
      <c r="J565" s="3">
        <v>7</v>
      </c>
      <c r="K565" s="3">
        <v>214.00729999999999</v>
      </c>
    </row>
    <row r="566" spans="1:11" ht="15.6" x14ac:dyDescent="0.3">
      <c r="A566" s="7">
        <v>42347</v>
      </c>
      <c r="B566" s="8">
        <f>YEAR(A566)</f>
        <v>2015</v>
      </c>
      <c r="C566" s="8">
        <f>MONTH(A566)</f>
        <v>12</v>
      </c>
      <c r="D566" s="3" t="s">
        <v>15</v>
      </c>
      <c r="E566" s="3" t="s">
        <v>26</v>
      </c>
      <c r="F566" s="3" t="s">
        <v>30</v>
      </c>
      <c r="G566" s="3" t="s">
        <v>37</v>
      </c>
      <c r="H566" s="3" t="s">
        <v>51</v>
      </c>
      <c r="I566" s="3">
        <v>1170.57</v>
      </c>
      <c r="J566" s="3">
        <v>3</v>
      </c>
      <c r="K566" s="3">
        <v>199.58070000000001</v>
      </c>
    </row>
    <row r="567" spans="1:11" ht="15.6" x14ac:dyDescent="0.3">
      <c r="A567" s="7">
        <v>42347</v>
      </c>
      <c r="B567" s="8">
        <f>YEAR(A567)</f>
        <v>2015</v>
      </c>
      <c r="C567" s="8">
        <f>MONTH(A567)</f>
        <v>12</v>
      </c>
      <c r="D567" s="3" t="s">
        <v>17</v>
      </c>
      <c r="E567" s="3" t="s">
        <v>26</v>
      </c>
      <c r="F567" s="3" t="s">
        <v>29</v>
      </c>
      <c r="G567" s="3" t="s">
        <v>32</v>
      </c>
      <c r="H567" s="3" t="s">
        <v>48</v>
      </c>
      <c r="I567" s="3">
        <v>1065.77</v>
      </c>
      <c r="J567" s="3">
        <v>7</v>
      </c>
      <c r="K567" s="3">
        <v>193.49080000000001</v>
      </c>
    </row>
    <row r="568" spans="1:11" ht="15.6" x14ac:dyDescent="0.3">
      <c r="A568" s="7">
        <v>42350</v>
      </c>
      <c r="B568" s="8">
        <f>YEAR(A568)</f>
        <v>2015</v>
      </c>
      <c r="C568" s="8">
        <f>MONTH(A568)</f>
        <v>12</v>
      </c>
      <c r="D568" s="3" t="s">
        <v>13</v>
      </c>
      <c r="E568" s="3" t="s">
        <v>28</v>
      </c>
      <c r="F568" s="3" t="s">
        <v>30</v>
      </c>
      <c r="G568" s="3" t="s">
        <v>33</v>
      </c>
      <c r="H568" s="3" t="s">
        <v>60</v>
      </c>
      <c r="I568" s="3">
        <v>540.75</v>
      </c>
      <c r="J568" s="3">
        <v>7</v>
      </c>
      <c r="K568" s="3">
        <v>-207.86150000000001</v>
      </c>
    </row>
    <row r="569" spans="1:11" ht="15.6" x14ac:dyDescent="0.3">
      <c r="A569" s="7">
        <v>42354</v>
      </c>
      <c r="B569" s="8">
        <f>YEAR(A569)</f>
        <v>2015</v>
      </c>
      <c r="C569" s="8">
        <f>MONTH(A569)</f>
        <v>12</v>
      </c>
      <c r="D569" s="3" t="s">
        <v>11</v>
      </c>
      <c r="E569" s="3" t="s">
        <v>26</v>
      </c>
      <c r="F569" s="3" t="s">
        <v>30</v>
      </c>
      <c r="G569" s="3" t="s">
        <v>35</v>
      </c>
      <c r="H569" s="3" t="s">
        <v>66</v>
      </c>
      <c r="I569" s="3">
        <v>972.42</v>
      </c>
      <c r="J569" s="3">
        <v>10</v>
      </c>
      <c r="K569" s="3">
        <v>-369.34949999999998</v>
      </c>
    </row>
    <row r="570" spans="1:11" ht="15.6" x14ac:dyDescent="0.3">
      <c r="A570" s="7">
        <v>42356</v>
      </c>
      <c r="B570" s="8">
        <f>YEAR(A570)</f>
        <v>2015</v>
      </c>
      <c r="C570" s="8">
        <f>MONTH(A570)</f>
        <v>12</v>
      </c>
      <c r="D570" s="3" t="s">
        <v>11</v>
      </c>
      <c r="E570" s="3" t="s">
        <v>28</v>
      </c>
      <c r="F570" s="3" t="s">
        <v>30</v>
      </c>
      <c r="G570" s="3" t="s">
        <v>35</v>
      </c>
      <c r="H570" s="3" t="s">
        <v>66</v>
      </c>
      <c r="I570" s="3">
        <v>369.7</v>
      </c>
      <c r="J570" s="3">
        <v>4</v>
      </c>
      <c r="K570" s="3">
        <v>-86.068899999999999</v>
      </c>
    </row>
    <row r="571" spans="1:11" ht="15.6" x14ac:dyDescent="0.3">
      <c r="A571" s="7">
        <v>42356</v>
      </c>
      <c r="B571" s="8">
        <f>YEAR(A571)</f>
        <v>2015</v>
      </c>
      <c r="C571" s="8">
        <f>MONTH(A571)</f>
        <v>12</v>
      </c>
      <c r="D571" s="3" t="s">
        <v>17</v>
      </c>
      <c r="E571" s="3" t="s">
        <v>25</v>
      </c>
      <c r="F571" s="3" t="s">
        <v>31</v>
      </c>
      <c r="G571" s="3" t="s">
        <v>39</v>
      </c>
      <c r="H571" s="3" t="s">
        <v>54</v>
      </c>
      <c r="I571" s="3">
        <v>375.73</v>
      </c>
      <c r="J571" s="3">
        <v>7</v>
      </c>
      <c r="K571" s="3">
        <v>-113.9537</v>
      </c>
    </row>
    <row r="572" spans="1:11" ht="15.6" x14ac:dyDescent="0.3">
      <c r="A572" s="7">
        <v>42362</v>
      </c>
      <c r="B572" s="8">
        <f>YEAR(A572)</f>
        <v>2015</v>
      </c>
      <c r="C572" s="8">
        <f>MONTH(A572)</f>
        <v>12</v>
      </c>
      <c r="D572" s="3" t="s">
        <v>17</v>
      </c>
      <c r="E572" s="3" t="s">
        <v>24</v>
      </c>
      <c r="F572" s="3" t="s">
        <v>29</v>
      </c>
      <c r="G572" s="3" t="s">
        <v>41</v>
      </c>
      <c r="H572" s="3" t="s">
        <v>65</v>
      </c>
      <c r="I572" s="3">
        <v>1078.03</v>
      </c>
      <c r="J572" s="3">
        <v>9</v>
      </c>
      <c r="K572" s="3">
        <v>118.7666</v>
      </c>
    </row>
    <row r="573" spans="1:11" ht="15.6" x14ac:dyDescent="0.3">
      <c r="A573" s="7">
        <v>42362</v>
      </c>
      <c r="B573" s="8">
        <f>YEAR(A573)</f>
        <v>2015</v>
      </c>
      <c r="C573" s="8">
        <f>MONTH(A573)</f>
        <v>12</v>
      </c>
      <c r="D573" s="3" t="s">
        <v>13</v>
      </c>
      <c r="E573" s="3" t="s">
        <v>23</v>
      </c>
      <c r="F573" s="3" t="s">
        <v>31</v>
      </c>
      <c r="G573" s="3" t="s">
        <v>38</v>
      </c>
      <c r="H573" s="3" t="s">
        <v>53</v>
      </c>
      <c r="I573" s="3">
        <v>920.93</v>
      </c>
      <c r="J573" s="3">
        <v>5</v>
      </c>
      <c r="K573" s="3">
        <v>-147.0153</v>
      </c>
    </row>
    <row r="574" spans="1:11" ht="15.6" x14ac:dyDescent="0.3">
      <c r="A574" s="7">
        <v>42367</v>
      </c>
      <c r="B574" s="8">
        <f>YEAR(A574)</f>
        <v>2015</v>
      </c>
      <c r="C574" s="8">
        <f>MONTH(A574)</f>
        <v>12</v>
      </c>
      <c r="D574" s="3" t="s">
        <v>12</v>
      </c>
      <c r="E574" s="3" t="s">
        <v>27</v>
      </c>
      <c r="F574" s="3" t="s">
        <v>29</v>
      </c>
      <c r="G574" s="3" t="s">
        <v>41</v>
      </c>
      <c r="H574" s="3" t="s">
        <v>57</v>
      </c>
      <c r="I574" s="3">
        <v>271.88</v>
      </c>
      <c r="J574" s="3">
        <v>5</v>
      </c>
      <c r="K574" s="3">
        <v>-23.013400000000001</v>
      </c>
    </row>
    <row r="575" spans="1:11" ht="15.6" x14ac:dyDescent="0.3">
      <c r="A575" s="7">
        <v>42371</v>
      </c>
      <c r="B575" s="8">
        <f>YEAR(A575)</f>
        <v>2016</v>
      </c>
      <c r="C575" s="8">
        <f>MONTH(A575)</f>
        <v>1</v>
      </c>
      <c r="D575" s="3" t="s">
        <v>15</v>
      </c>
      <c r="E575" s="3" t="s">
        <v>22</v>
      </c>
      <c r="F575" s="3" t="s">
        <v>30</v>
      </c>
      <c r="G575" s="3" t="s">
        <v>33</v>
      </c>
      <c r="H575" s="3" t="s">
        <v>55</v>
      </c>
      <c r="I575" s="3">
        <v>497.26</v>
      </c>
      <c r="J575" s="3">
        <v>1</v>
      </c>
      <c r="K575" s="3">
        <v>47.702199999999998</v>
      </c>
    </row>
    <row r="576" spans="1:11" ht="15.6" x14ac:dyDescent="0.3">
      <c r="A576" s="7">
        <v>42374</v>
      </c>
      <c r="B576" s="8">
        <f>YEAR(A576)</f>
        <v>2016</v>
      </c>
      <c r="C576" s="8">
        <f>MONTH(A576)</f>
        <v>1</v>
      </c>
      <c r="D576" s="3" t="s">
        <v>15</v>
      </c>
      <c r="E576" s="3" t="s">
        <v>24</v>
      </c>
      <c r="F576" s="3" t="s">
        <v>29</v>
      </c>
      <c r="G576" s="3" t="s">
        <v>40</v>
      </c>
      <c r="H576" s="3" t="s">
        <v>56</v>
      </c>
      <c r="I576" s="3">
        <v>611.24</v>
      </c>
      <c r="J576" s="3">
        <v>3</v>
      </c>
      <c r="K576" s="3">
        <v>140.87799999999999</v>
      </c>
    </row>
    <row r="577" spans="1:11" ht="15.6" x14ac:dyDescent="0.3">
      <c r="A577" s="7">
        <v>42375</v>
      </c>
      <c r="B577" s="8">
        <f>YEAR(A577)</f>
        <v>2016</v>
      </c>
      <c r="C577" s="8">
        <f>MONTH(A577)</f>
        <v>1</v>
      </c>
      <c r="D577" s="3" t="s">
        <v>18</v>
      </c>
      <c r="E577" s="3" t="s">
        <v>20</v>
      </c>
      <c r="F577" s="3" t="s">
        <v>30</v>
      </c>
      <c r="G577" s="3" t="s">
        <v>33</v>
      </c>
      <c r="H577" s="3" t="s">
        <v>60</v>
      </c>
      <c r="I577" s="3">
        <v>691.9</v>
      </c>
      <c r="J577" s="3">
        <v>5</v>
      </c>
      <c r="K577" s="3">
        <v>-265.375</v>
      </c>
    </row>
    <row r="578" spans="1:11" ht="15.6" x14ac:dyDescent="0.3">
      <c r="A578" s="7">
        <v>42379</v>
      </c>
      <c r="B578" s="8">
        <f>YEAR(A578)</f>
        <v>2016</v>
      </c>
      <c r="C578" s="8">
        <f>MONTH(A578)</f>
        <v>1</v>
      </c>
      <c r="D578" s="3" t="s">
        <v>13</v>
      </c>
      <c r="E578" s="3" t="s">
        <v>24</v>
      </c>
      <c r="F578" s="3" t="s">
        <v>31</v>
      </c>
      <c r="G578" s="3" t="s">
        <v>34</v>
      </c>
      <c r="H578" s="3" t="s">
        <v>46</v>
      </c>
      <c r="I578" s="3">
        <v>480.08</v>
      </c>
      <c r="J578" s="3">
        <v>7</v>
      </c>
      <c r="K578" s="3">
        <v>-58.942999999999998</v>
      </c>
    </row>
    <row r="579" spans="1:11" ht="15.6" x14ac:dyDescent="0.3">
      <c r="A579" s="7">
        <v>42380</v>
      </c>
      <c r="B579" s="8">
        <f>YEAR(A579)</f>
        <v>2016</v>
      </c>
      <c r="C579" s="8">
        <f>MONTH(A579)</f>
        <v>1</v>
      </c>
      <c r="D579" s="3" t="s">
        <v>13</v>
      </c>
      <c r="E579" s="3" t="s">
        <v>20</v>
      </c>
      <c r="F579" s="3" t="s">
        <v>29</v>
      </c>
      <c r="G579" s="3" t="s">
        <v>32</v>
      </c>
      <c r="H579" s="3" t="s">
        <v>48</v>
      </c>
      <c r="I579" s="3">
        <v>694.94</v>
      </c>
      <c r="J579" s="3">
        <v>2</v>
      </c>
      <c r="K579" s="3">
        <v>-254.09209999999999</v>
      </c>
    </row>
    <row r="580" spans="1:11" ht="15.6" x14ac:dyDescent="0.3">
      <c r="A580" s="7">
        <v>42380</v>
      </c>
      <c r="B580" s="8">
        <f>YEAR(A580)</f>
        <v>2016</v>
      </c>
      <c r="C580" s="8">
        <f>MONTH(A580)</f>
        <v>1</v>
      </c>
      <c r="D580" s="3" t="s">
        <v>17</v>
      </c>
      <c r="E580" s="3" t="s">
        <v>20</v>
      </c>
      <c r="F580" s="3" t="s">
        <v>29</v>
      </c>
      <c r="G580" s="3" t="s">
        <v>32</v>
      </c>
      <c r="H580" s="3" t="s">
        <v>48</v>
      </c>
      <c r="I580" s="3">
        <v>98.33</v>
      </c>
      <c r="J580" s="3">
        <v>10</v>
      </c>
      <c r="K580" s="3">
        <v>-31.056899999999999</v>
      </c>
    </row>
    <row r="581" spans="1:11" ht="15.6" x14ac:dyDescent="0.3">
      <c r="A581" s="7">
        <v>42381</v>
      </c>
      <c r="B581" s="8">
        <f>YEAR(A581)</f>
        <v>2016</v>
      </c>
      <c r="C581" s="8">
        <f>MONTH(A581)</f>
        <v>1</v>
      </c>
      <c r="D581" s="3" t="s">
        <v>13</v>
      </c>
      <c r="E581" s="3" t="s">
        <v>19</v>
      </c>
      <c r="F581" s="3" t="s">
        <v>31</v>
      </c>
      <c r="G581" s="3" t="s">
        <v>43</v>
      </c>
      <c r="H581" s="3" t="s">
        <v>68</v>
      </c>
      <c r="I581" s="3">
        <v>110.32</v>
      </c>
      <c r="J581" s="3">
        <v>2</v>
      </c>
      <c r="K581" s="3">
        <v>-23.995999999999999</v>
      </c>
    </row>
    <row r="582" spans="1:11" ht="15.6" x14ac:dyDescent="0.3">
      <c r="A582" s="7">
        <v>42382</v>
      </c>
      <c r="B582" s="8">
        <f>YEAR(A582)</f>
        <v>2016</v>
      </c>
      <c r="C582" s="8">
        <f>MONTH(A582)</f>
        <v>1</v>
      </c>
      <c r="D582" s="3" t="s">
        <v>15</v>
      </c>
      <c r="E582" s="3" t="s">
        <v>24</v>
      </c>
      <c r="F582" s="3" t="s">
        <v>31</v>
      </c>
      <c r="G582" s="3" t="s">
        <v>36</v>
      </c>
      <c r="H582" s="3" t="s">
        <v>70</v>
      </c>
      <c r="I582" s="3">
        <v>123.73</v>
      </c>
      <c r="J582" s="3">
        <v>6</v>
      </c>
      <c r="K582" s="3">
        <v>1.0330999999999999</v>
      </c>
    </row>
    <row r="583" spans="1:11" ht="15.6" x14ac:dyDescent="0.3">
      <c r="A583" s="7">
        <v>42382</v>
      </c>
      <c r="B583" s="8">
        <f>YEAR(A583)</f>
        <v>2016</v>
      </c>
      <c r="C583" s="8">
        <f>MONTH(A583)</f>
        <v>1</v>
      </c>
      <c r="D583" s="3" t="s">
        <v>10</v>
      </c>
      <c r="E583" s="3" t="s">
        <v>27</v>
      </c>
      <c r="F583" s="3" t="s">
        <v>31</v>
      </c>
      <c r="G583" s="3" t="s">
        <v>34</v>
      </c>
      <c r="H583" s="3" t="s">
        <v>47</v>
      </c>
      <c r="I583" s="3">
        <v>119.52</v>
      </c>
      <c r="J583" s="3">
        <v>10</v>
      </c>
      <c r="K583" s="3">
        <v>-16.2879</v>
      </c>
    </row>
    <row r="584" spans="1:11" ht="15.6" x14ac:dyDescent="0.3">
      <c r="A584" s="7">
        <v>42383</v>
      </c>
      <c r="B584" s="8">
        <f>YEAR(A584)</f>
        <v>2016</v>
      </c>
      <c r="C584" s="8">
        <f>MONTH(A584)</f>
        <v>1</v>
      </c>
      <c r="D584" s="3" t="s">
        <v>9</v>
      </c>
      <c r="E584" s="3" t="s">
        <v>20</v>
      </c>
      <c r="F584" s="3" t="s">
        <v>30</v>
      </c>
      <c r="G584" s="3" t="s">
        <v>33</v>
      </c>
      <c r="H584" s="3" t="s">
        <v>60</v>
      </c>
      <c r="I584" s="3">
        <v>106.94</v>
      </c>
      <c r="J584" s="3">
        <v>7</v>
      </c>
      <c r="K584" s="3">
        <v>15.5229</v>
      </c>
    </row>
    <row r="585" spans="1:11" ht="15.6" x14ac:dyDescent="0.3">
      <c r="A585" s="7">
        <v>42384</v>
      </c>
      <c r="B585" s="8">
        <f>YEAR(A585)</f>
        <v>2016</v>
      </c>
      <c r="C585" s="8">
        <f>MONTH(A585)</f>
        <v>1</v>
      </c>
      <c r="D585" s="3" t="s">
        <v>10</v>
      </c>
      <c r="E585" s="3" t="s">
        <v>21</v>
      </c>
      <c r="F585" s="3" t="s">
        <v>30</v>
      </c>
      <c r="G585" s="3" t="s">
        <v>33</v>
      </c>
      <c r="H585" s="3" t="s">
        <v>55</v>
      </c>
      <c r="I585" s="3">
        <v>991.25</v>
      </c>
      <c r="J585" s="3">
        <v>4</v>
      </c>
      <c r="K585" s="3">
        <v>231.19720000000001</v>
      </c>
    </row>
    <row r="586" spans="1:11" ht="15.6" x14ac:dyDescent="0.3">
      <c r="A586" s="7">
        <v>42384</v>
      </c>
      <c r="B586" s="8">
        <f>YEAR(A586)</f>
        <v>2016</v>
      </c>
      <c r="C586" s="8">
        <f>MONTH(A586)</f>
        <v>1</v>
      </c>
      <c r="D586" s="3" t="s">
        <v>15</v>
      </c>
      <c r="E586" s="3" t="s">
        <v>21</v>
      </c>
      <c r="F586" s="3" t="s">
        <v>29</v>
      </c>
      <c r="G586" s="3" t="s">
        <v>40</v>
      </c>
      <c r="H586" s="3" t="s">
        <v>56</v>
      </c>
      <c r="I586" s="3">
        <v>860.52</v>
      </c>
      <c r="J586" s="3">
        <v>2</v>
      </c>
      <c r="K586" s="3">
        <v>-281.32310000000001</v>
      </c>
    </row>
    <row r="587" spans="1:11" ht="15.6" x14ac:dyDescent="0.3">
      <c r="A587" s="7">
        <v>42385</v>
      </c>
      <c r="B587" s="8">
        <f>YEAR(A587)</f>
        <v>2016</v>
      </c>
      <c r="C587" s="8">
        <f>MONTH(A587)</f>
        <v>1</v>
      </c>
      <c r="D587" s="3" t="s">
        <v>11</v>
      </c>
      <c r="E587" s="3" t="s">
        <v>21</v>
      </c>
      <c r="F587" s="3" t="s">
        <v>31</v>
      </c>
      <c r="G587" s="3" t="s">
        <v>43</v>
      </c>
      <c r="H587" s="3" t="s">
        <v>62</v>
      </c>
      <c r="I587" s="3">
        <v>932.34</v>
      </c>
      <c r="J587" s="3">
        <v>4</v>
      </c>
      <c r="K587" s="3">
        <v>-148.6891</v>
      </c>
    </row>
    <row r="588" spans="1:11" ht="15.6" x14ac:dyDescent="0.3">
      <c r="A588" s="7">
        <v>42388</v>
      </c>
      <c r="B588" s="8">
        <f>YEAR(A588)</f>
        <v>2016</v>
      </c>
      <c r="C588" s="8">
        <f>MONTH(A588)</f>
        <v>1</v>
      </c>
      <c r="D588" s="3" t="s">
        <v>17</v>
      </c>
      <c r="E588" s="3" t="s">
        <v>20</v>
      </c>
      <c r="F588" s="3" t="s">
        <v>30</v>
      </c>
      <c r="G588" s="3" t="s">
        <v>33</v>
      </c>
      <c r="H588" s="3" t="s">
        <v>55</v>
      </c>
      <c r="I588" s="3">
        <v>421.23</v>
      </c>
      <c r="J588" s="3">
        <v>6</v>
      </c>
      <c r="K588" s="3">
        <v>-59.648800000000001</v>
      </c>
    </row>
    <row r="589" spans="1:11" ht="15.6" x14ac:dyDescent="0.3">
      <c r="A589" s="7">
        <v>42388</v>
      </c>
      <c r="B589" s="8">
        <f>YEAR(A589)</f>
        <v>2016</v>
      </c>
      <c r="C589" s="8">
        <f>MONTH(A589)</f>
        <v>1</v>
      </c>
      <c r="D589" s="3" t="s">
        <v>9</v>
      </c>
      <c r="E589" s="3" t="s">
        <v>22</v>
      </c>
      <c r="F589" s="3" t="s">
        <v>31</v>
      </c>
      <c r="G589" s="3" t="s">
        <v>36</v>
      </c>
      <c r="H589" s="3" t="s">
        <v>70</v>
      </c>
      <c r="I589" s="3">
        <v>442.89</v>
      </c>
      <c r="J589" s="3">
        <v>9</v>
      </c>
      <c r="K589" s="3">
        <v>56.9801</v>
      </c>
    </row>
    <row r="590" spans="1:11" ht="15.6" x14ac:dyDescent="0.3">
      <c r="A590" s="7">
        <v>42389</v>
      </c>
      <c r="B590" s="8">
        <f>YEAR(A590)</f>
        <v>2016</v>
      </c>
      <c r="C590" s="8">
        <f>MONTH(A590)</f>
        <v>1</v>
      </c>
      <c r="D590" s="3" t="s">
        <v>13</v>
      </c>
      <c r="E590" s="3" t="s">
        <v>25</v>
      </c>
      <c r="F590" s="3" t="s">
        <v>30</v>
      </c>
      <c r="G590" s="3" t="s">
        <v>35</v>
      </c>
      <c r="H590" s="3" t="s">
        <v>59</v>
      </c>
      <c r="I590" s="3">
        <v>639.37</v>
      </c>
      <c r="J590" s="3">
        <v>5</v>
      </c>
      <c r="K590" s="3">
        <v>142.48650000000001</v>
      </c>
    </row>
    <row r="591" spans="1:11" ht="15.6" x14ac:dyDescent="0.3">
      <c r="A591" s="7">
        <v>42390</v>
      </c>
      <c r="B591" s="8">
        <f>YEAR(A591)</f>
        <v>2016</v>
      </c>
      <c r="C591" s="8">
        <f>MONTH(A591)</f>
        <v>1</v>
      </c>
      <c r="D591" s="3" t="s">
        <v>18</v>
      </c>
      <c r="E591" s="3" t="s">
        <v>19</v>
      </c>
      <c r="F591" s="3" t="s">
        <v>30</v>
      </c>
      <c r="G591" s="3" t="s">
        <v>42</v>
      </c>
      <c r="H591" s="3" t="s">
        <v>69</v>
      </c>
      <c r="I591" s="3">
        <v>437.77</v>
      </c>
      <c r="J591" s="3">
        <v>10</v>
      </c>
      <c r="K591" s="3">
        <v>-164.47499999999999</v>
      </c>
    </row>
    <row r="592" spans="1:11" ht="15.6" x14ac:dyDescent="0.3">
      <c r="A592" s="7">
        <v>42392</v>
      </c>
      <c r="B592" s="8">
        <f>YEAR(A592)</f>
        <v>2016</v>
      </c>
      <c r="C592" s="8">
        <f>MONTH(A592)</f>
        <v>1</v>
      </c>
      <c r="D592" s="3" t="s">
        <v>13</v>
      </c>
      <c r="E592" s="3" t="s">
        <v>28</v>
      </c>
      <c r="F592" s="3" t="s">
        <v>31</v>
      </c>
      <c r="G592" s="3" t="s">
        <v>36</v>
      </c>
      <c r="H592" s="3" t="s">
        <v>50</v>
      </c>
      <c r="I592" s="3">
        <v>966.38</v>
      </c>
      <c r="J592" s="3">
        <v>6</v>
      </c>
      <c r="K592" s="3">
        <v>-188.67160000000001</v>
      </c>
    </row>
    <row r="593" spans="1:11" ht="15.6" x14ac:dyDescent="0.3">
      <c r="A593" s="7">
        <v>42396</v>
      </c>
      <c r="B593" s="8">
        <f>YEAR(A593)</f>
        <v>2016</v>
      </c>
      <c r="C593" s="8">
        <f>MONTH(A593)</f>
        <v>1</v>
      </c>
      <c r="D593" s="3" t="s">
        <v>10</v>
      </c>
      <c r="E593" s="3" t="s">
        <v>22</v>
      </c>
      <c r="F593" s="3" t="s">
        <v>30</v>
      </c>
      <c r="G593" s="3" t="s">
        <v>37</v>
      </c>
      <c r="H593" s="3" t="s">
        <v>51</v>
      </c>
      <c r="I593" s="3">
        <v>227.97</v>
      </c>
      <c r="J593" s="3">
        <v>1</v>
      </c>
      <c r="K593" s="3">
        <v>-46.170299999999997</v>
      </c>
    </row>
    <row r="594" spans="1:11" ht="15.6" x14ac:dyDescent="0.3">
      <c r="A594" s="7">
        <v>42399</v>
      </c>
      <c r="B594" s="8">
        <f>YEAR(A594)</f>
        <v>2016</v>
      </c>
      <c r="C594" s="8">
        <f>MONTH(A594)</f>
        <v>1</v>
      </c>
      <c r="D594" s="3" t="s">
        <v>14</v>
      </c>
      <c r="E594" s="3" t="s">
        <v>21</v>
      </c>
      <c r="F594" s="3" t="s">
        <v>30</v>
      </c>
      <c r="G594" s="3" t="s">
        <v>33</v>
      </c>
      <c r="H594" s="3" t="s">
        <v>55</v>
      </c>
      <c r="I594" s="3">
        <v>806.23</v>
      </c>
      <c r="J594" s="3">
        <v>9</v>
      </c>
      <c r="K594" s="3">
        <v>-69.057599999999994</v>
      </c>
    </row>
    <row r="595" spans="1:11" ht="15.6" x14ac:dyDescent="0.3">
      <c r="A595" s="7">
        <v>42400</v>
      </c>
      <c r="B595" s="8">
        <f>YEAR(A595)</f>
        <v>2016</v>
      </c>
      <c r="C595" s="8">
        <f>MONTH(A595)</f>
        <v>1</v>
      </c>
      <c r="D595" s="3" t="s">
        <v>15</v>
      </c>
      <c r="E595" s="3" t="s">
        <v>23</v>
      </c>
      <c r="F595" s="3" t="s">
        <v>29</v>
      </c>
      <c r="G595" s="3" t="s">
        <v>32</v>
      </c>
      <c r="H595" s="3" t="s">
        <v>48</v>
      </c>
      <c r="I595" s="3">
        <v>134.47</v>
      </c>
      <c r="J595" s="3">
        <v>4</v>
      </c>
      <c r="K595" s="3">
        <v>-6.2384000000000004</v>
      </c>
    </row>
    <row r="596" spans="1:11" ht="15.6" x14ac:dyDescent="0.3">
      <c r="A596" s="7">
        <v>42402</v>
      </c>
      <c r="B596" s="8">
        <f>YEAR(A596)</f>
        <v>2016</v>
      </c>
      <c r="C596" s="8">
        <f>MONTH(A596)</f>
        <v>2</v>
      </c>
      <c r="D596" s="3" t="s">
        <v>11</v>
      </c>
      <c r="E596" s="3" t="s">
        <v>24</v>
      </c>
      <c r="F596" s="3" t="s">
        <v>30</v>
      </c>
      <c r="G596" s="3" t="s">
        <v>35</v>
      </c>
      <c r="H596" s="3" t="s">
        <v>66</v>
      </c>
      <c r="I596" s="3">
        <v>825.11</v>
      </c>
      <c r="J596" s="3">
        <v>2</v>
      </c>
      <c r="K596" s="3">
        <v>30.3169</v>
      </c>
    </row>
    <row r="597" spans="1:11" ht="15.6" x14ac:dyDescent="0.3">
      <c r="A597" s="7">
        <v>42402</v>
      </c>
      <c r="B597" s="8">
        <f>YEAR(A597)</f>
        <v>2016</v>
      </c>
      <c r="C597" s="8">
        <f>MONTH(A597)</f>
        <v>2</v>
      </c>
      <c r="D597" s="3" t="s">
        <v>12</v>
      </c>
      <c r="E597" s="3" t="s">
        <v>28</v>
      </c>
      <c r="F597" s="3" t="s">
        <v>31</v>
      </c>
      <c r="G597" s="3" t="s">
        <v>43</v>
      </c>
      <c r="H597" s="3" t="s">
        <v>68</v>
      </c>
      <c r="I597" s="3">
        <v>441.27</v>
      </c>
      <c r="J597" s="3">
        <v>7</v>
      </c>
      <c r="K597" s="3">
        <v>-83.963899999999995</v>
      </c>
    </row>
    <row r="598" spans="1:11" ht="15.6" x14ac:dyDescent="0.3">
      <c r="A598" s="7">
        <v>42403</v>
      </c>
      <c r="B598" s="8">
        <f>YEAR(A598)</f>
        <v>2016</v>
      </c>
      <c r="C598" s="8">
        <f>MONTH(A598)</f>
        <v>2</v>
      </c>
      <c r="D598" s="3" t="s">
        <v>10</v>
      </c>
      <c r="E598" s="3" t="s">
        <v>21</v>
      </c>
      <c r="F598" s="3" t="s">
        <v>29</v>
      </c>
      <c r="G598" s="3" t="s">
        <v>41</v>
      </c>
      <c r="H598" s="3" t="s">
        <v>65</v>
      </c>
      <c r="I598" s="3">
        <v>1101.93</v>
      </c>
      <c r="J598" s="3">
        <v>7</v>
      </c>
      <c r="K598" s="3">
        <v>-102.9456</v>
      </c>
    </row>
    <row r="599" spans="1:11" ht="15.6" x14ac:dyDescent="0.3">
      <c r="A599" s="7">
        <v>42406</v>
      </c>
      <c r="B599" s="8">
        <f>YEAR(A599)</f>
        <v>2016</v>
      </c>
      <c r="C599" s="8">
        <f>MONTH(A599)</f>
        <v>2</v>
      </c>
      <c r="D599" s="3" t="s">
        <v>9</v>
      </c>
      <c r="E599" s="3" t="s">
        <v>23</v>
      </c>
      <c r="F599" s="3" t="s">
        <v>30</v>
      </c>
      <c r="G599" s="3" t="s">
        <v>35</v>
      </c>
      <c r="H599" s="3" t="s">
        <v>66</v>
      </c>
      <c r="I599" s="3">
        <v>472.41</v>
      </c>
      <c r="J599" s="3">
        <v>10</v>
      </c>
      <c r="K599" s="3">
        <v>55.6631</v>
      </c>
    </row>
    <row r="600" spans="1:11" ht="15.6" x14ac:dyDescent="0.3">
      <c r="A600" s="7">
        <v>42409</v>
      </c>
      <c r="B600" s="8">
        <f>YEAR(A600)</f>
        <v>2016</v>
      </c>
      <c r="C600" s="8">
        <f>MONTH(A600)</f>
        <v>2</v>
      </c>
      <c r="D600" s="3" t="s">
        <v>13</v>
      </c>
      <c r="E600" s="3" t="s">
        <v>27</v>
      </c>
      <c r="F600" s="3" t="s">
        <v>31</v>
      </c>
      <c r="G600" s="3" t="s">
        <v>36</v>
      </c>
      <c r="H600" s="3" t="s">
        <v>50</v>
      </c>
      <c r="I600" s="3">
        <v>100.9</v>
      </c>
      <c r="J600" s="3">
        <v>9</v>
      </c>
      <c r="K600" s="3">
        <v>-30.295999999999999</v>
      </c>
    </row>
    <row r="601" spans="1:11" ht="15.6" x14ac:dyDescent="0.3">
      <c r="A601" s="7">
        <v>42409</v>
      </c>
      <c r="B601" s="8">
        <f>YEAR(A601)</f>
        <v>2016</v>
      </c>
      <c r="C601" s="8">
        <f>MONTH(A601)</f>
        <v>2</v>
      </c>
      <c r="D601" s="3" t="s">
        <v>14</v>
      </c>
      <c r="E601" s="3" t="s">
        <v>28</v>
      </c>
      <c r="F601" s="3" t="s">
        <v>29</v>
      </c>
      <c r="G601" s="3" t="s">
        <v>32</v>
      </c>
      <c r="H601" s="3" t="s">
        <v>48</v>
      </c>
      <c r="I601" s="3">
        <v>250.35</v>
      </c>
      <c r="J601" s="3">
        <v>3</v>
      </c>
      <c r="K601" s="3">
        <v>54.967700000000001</v>
      </c>
    </row>
    <row r="602" spans="1:11" ht="15.6" x14ac:dyDescent="0.3">
      <c r="A602" s="7">
        <v>42410</v>
      </c>
      <c r="B602" s="8">
        <f>YEAR(A602)</f>
        <v>2016</v>
      </c>
      <c r="C602" s="8">
        <f>MONTH(A602)</f>
        <v>2</v>
      </c>
      <c r="D602" s="3" t="s">
        <v>11</v>
      </c>
      <c r="E602" s="3" t="s">
        <v>20</v>
      </c>
      <c r="F602" s="3" t="s">
        <v>29</v>
      </c>
      <c r="G602" s="3" t="s">
        <v>40</v>
      </c>
      <c r="H602" s="3" t="s">
        <v>61</v>
      </c>
      <c r="I602" s="3">
        <v>506.7</v>
      </c>
      <c r="J602" s="3">
        <v>6</v>
      </c>
      <c r="K602" s="3">
        <v>-142.8605</v>
      </c>
    </row>
    <row r="603" spans="1:11" ht="15.6" x14ac:dyDescent="0.3">
      <c r="A603" s="7">
        <v>42410</v>
      </c>
      <c r="B603" s="8">
        <f>YEAR(A603)</f>
        <v>2016</v>
      </c>
      <c r="C603" s="8">
        <f>MONTH(A603)</f>
        <v>2</v>
      </c>
      <c r="D603" s="3" t="s">
        <v>15</v>
      </c>
      <c r="E603" s="3" t="s">
        <v>22</v>
      </c>
      <c r="F603" s="3" t="s">
        <v>31</v>
      </c>
      <c r="G603" s="3" t="s">
        <v>43</v>
      </c>
      <c r="H603" s="3" t="s">
        <v>68</v>
      </c>
      <c r="I603" s="3">
        <v>224.74</v>
      </c>
      <c r="J603" s="3">
        <v>9</v>
      </c>
      <c r="K603" s="3">
        <v>-10.082000000000001</v>
      </c>
    </row>
    <row r="604" spans="1:11" ht="15.6" x14ac:dyDescent="0.3">
      <c r="A604" s="7">
        <v>42410</v>
      </c>
      <c r="B604" s="8">
        <f>YEAR(A604)</f>
        <v>2016</v>
      </c>
      <c r="C604" s="8">
        <f>MONTH(A604)</f>
        <v>2</v>
      </c>
      <c r="D604" s="3" t="s">
        <v>16</v>
      </c>
      <c r="E604" s="3" t="s">
        <v>28</v>
      </c>
      <c r="F604" s="3" t="s">
        <v>29</v>
      </c>
      <c r="G604" s="3" t="s">
        <v>41</v>
      </c>
      <c r="H604" s="3" t="s">
        <v>65</v>
      </c>
      <c r="I604" s="3">
        <v>339.96</v>
      </c>
      <c r="J604" s="3">
        <v>7</v>
      </c>
      <c r="K604" s="3">
        <v>-42.915999999999997</v>
      </c>
    </row>
    <row r="605" spans="1:11" ht="15.6" x14ac:dyDescent="0.3">
      <c r="A605" s="7">
        <v>42411</v>
      </c>
      <c r="B605" s="8">
        <f>YEAR(A605)</f>
        <v>2016</v>
      </c>
      <c r="C605" s="8">
        <f>MONTH(A605)</f>
        <v>2</v>
      </c>
      <c r="D605" s="3" t="s">
        <v>10</v>
      </c>
      <c r="E605" s="3" t="s">
        <v>21</v>
      </c>
      <c r="F605" s="3" t="s">
        <v>30</v>
      </c>
      <c r="G605" s="3" t="s">
        <v>37</v>
      </c>
      <c r="H605" s="3" t="s">
        <v>64</v>
      </c>
      <c r="I605" s="3">
        <v>189.33</v>
      </c>
      <c r="J605" s="3">
        <v>3</v>
      </c>
      <c r="K605" s="3">
        <v>42.316899999999997</v>
      </c>
    </row>
    <row r="606" spans="1:11" ht="15.6" x14ac:dyDescent="0.3">
      <c r="A606" s="7">
        <v>42412</v>
      </c>
      <c r="B606" s="8">
        <f>YEAR(A606)</f>
        <v>2016</v>
      </c>
      <c r="C606" s="8">
        <f>MONTH(A606)</f>
        <v>2</v>
      </c>
      <c r="D606" s="3" t="s">
        <v>9</v>
      </c>
      <c r="E606" s="3" t="s">
        <v>19</v>
      </c>
      <c r="F606" s="3" t="s">
        <v>30</v>
      </c>
      <c r="G606" s="3" t="s">
        <v>33</v>
      </c>
      <c r="H606" s="3" t="s">
        <v>55</v>
      </c>
      <c r="I606" s="3">
        <v>665.48</v>
      </c>
      <c r="J606" s="3">
        <v>1</v>
      </c>
      <c r="K606" s="3">
        <v>51.615299999999998</v>
      </c>
    </row>
    <row r="607" spans="1:11" ht="15.6" x14ac:dyDescent="0.3">
      <c r="A607" s="7">
        <v>42413</v>
      </c>
      <c r="B607" s="8">
        <f>YEAR(A607)</f>
        <v>2016</v>
      </c>
      <c r="C607" s="8">
        <f>MONTH(A607)</f>
        <v>2</v>
      </c>
      <c r="D607" s="3" t="s">
        <v>15</v>
      </c>
      <c r="E607" s="3" t="s">
        <v>28</v>
      </c>
      <c r="F607" s="3" t="s">
        <v>29</v>
      </c>
      <c r="G607" s="3" t="s">
        <v>41</v>
      </c>
      <c r="H607" s="3" t="s">
        <v>57</v>
      </c>
      <c r="I607" s="3">
        <v>433.01</v>
      </c>
      <c r="J607" s="3">
        <v>3</v>
      </c>
      <c r="K607" s="3">
        <v>-91.788499999999999</v>
      </c>
    </row>
    <row r="608" spans="1:11" ht="15.6" x14ac:dyDescent="0.3">
      <c r="A608" s="7">
        <v>42413</v>
      </c>
      <c r="B608" s="8">
        <f>YEAR(A608)</f>
        <v>2016</v>
      </c>
      <c r="C608" s="8">
        <f>MONTH(A608)</f>
        <v>2</v>
      </c>
      <c r="D608" s="3" t="s">
        <v>14</v>
      </c>
      <c r="E608" s="3" t="s">
        <v>27</v>
      </c>
      <c r="F608" s="3" t="s">
        <v>31</v>
      </c>
      <c r="G608" s="3" t="s">
        <v>34</v>
      </c>
      <c r="H608" s="3" t="s">
        <v>46</v>
      </c>
      <c r="I608" s="3">
        <v>626</v>
      </c>
      <c r="J608" s="3">
        <v>4</v>
      </c>
      <c r="K608" s="3">
        <v>-200.99600000000001</v>
      </c>
    </row>
    <row r="609" spans="1:11" ht="15.6" x14ac:dyDescent="0.3">
      <c r="A609" s="7">
        <v>42418</v>
      </c>
      <c r="B609" s="8">
        <f>YEAR(A609)</f>
        <v>2016</v>
      </c>
      <c r="C609" s="8">
        <f>MONTH(A609)</f>
        <v>2</v>
      </c>
      <c r="D609" s="3" t="s">
        <v>14</v>
      </c>
      <c r="E609" s="3" t="s">
        <v>23</v>
      </c>
      <c r="F609" s="3" t="s">
        <v>30</v>
      </c>
      <c r="G609" s="3" t="s">
        <v>35</v>
      </c>
      <c r="H609" s="3" t="s">
        <v>49</v>
      </c>
      <c r="I609" s="3">
        <v>337.18</v>
      </c>
      <c r="J609" s="3">
        <v>6</v>
      </c>
      <c r="K609" s="3">
        <v>-93.739199999999997</v>
      </c>
    </row>
    <row r="610" spans="1:11" ht="15.6" x14ac:dyDescent="0.3">
      <c r="A610" s="7">
        <v>42418</v>
      </c>
      <c r="B610" s="8">
        <f>YEAR(A610)</f>
        <v>2016</v>
      </c>
      <c r="C610" s="8">
        <f>MONTH(A610)</f>
        <v>2</v>
      </c>
      <c r="D610" s="3" t="s">
        <v>18</v>
      </c>
      <c r="E610" s="3" t="s">
        <v>23</v>
      </c>
      <c r="F610" s="3" t="s">
        <v>29</v>
      </c>
      <c r="G610" s="3" t="s">
        <v>32</v>
      </c>
      <c r="H610" s="3" t="s">
        <v>48</v>
      </c>
      <c r="I610" s="3">
        <v>1199.0899999999999</v>
      </c>
      <c r="J610" s="3">
        <v>4</v>
      </c>
      <c r="K610" s="3">
        <v>46.607900000000001</v>
      </c>
    </row>
    <row r="611" spans="1:11" ht="15.6" x14ac:dyDescent="0.3">
      <c r="A611" s="7">
        <v>42419</v>
      </c>
      <c r="B611" s="8">
        <f>YEAR(A611)</f>
        <v>2016</v>
      </c>
      <c r="C611" s="8">
        <f>MONTH(A611)</f>
        <v>2</v>
      </c>
      <c r="D611" s="3" t="s">
        <v>13</v>
      </c>
      <c r="E611" s="3" t="s">
        <v>24</v>
      </c>
      <c r="F611" s="3" t="s">
        <v>29</v>
      </c>
      <c r="G611" s="3" t="s">
        <v>32</v>
      </c>
      <c r="H611" s="3" t="s">
        <v>52</v>
      </c>
      <c r="I611" s="3">
        <v>562.16999999999996</v>
      </c>
      <c r="J611" s="3">
        <v>6</v>
      </c>
      <c r="K611" s="3">
        <v>-94.828699999999998</v>
      </c>
    </row>
    <row r="612" spans="1:11" ht="15.6" x14ac:dyDescent="0.3">
      <c r="A612" s="7">
        <v>42419</v>
      </c>
      <c r="B612" s="8">
        <f>YEAR(A612)</f>
        <v>2016</v>
      </c>
      <c r="C612" s="8">
        <f>MONTH(A612)</f>
        <v>2</v>
      </c>
      <c r="D612" s="3" t="s">
        <v>10</v>
      </c>
      <c r="E612" s="3" t="s">
        <v>24</v>
      </c>
      <c r="F612" s="3" t="s">
        <v>29</v>
      </c>
      <c r="G612" s="3" t="s">
        <v>40</v>
      </c>
      <c r="H612" s="3" t="s">
        <v>61</v>
      </c>
      <c r="I612" s="3">
        <v>207.55</v>
      </c>
      <c r="J612" s="3">
        <v>5</v>
      </c>
      <c r="K612" s="3">
        <v>-36.145200000000003</v>
      </c>
    </row>
    <row r="613" spans="1:11" ht="15.6" x14ac:dyDescent="0.3">
      <c r="A613" s="7">
        <v>42419</v>
      </c>
      <c r="B613" s="8">
        <f>YEAR(A613)</f>
        <v>2016</v>
      </c>
      <c r="C613" s="8">
        <f>MONTH(A613)</f>
        <v>2</v>
      </c>
      <c r="D613" s="3" t="s">
        <v>11</v>
      </c>
      <c r="E613" s="3" t="s">
        <v>23</v>
      </c>
      <c r="F613" s="3" t="s">
        <v>29</v>
      </c>
      <c r="G613" s="3" t="s">
        <v>32</v>
      </c>
      <c r="H613" s="3" t="s">
        <v>44</v>
      </c>
      <c r="I613" s="3">
        <v>612.71</v>
      </c>
      <c r="J613" s="3">
        <v>2</v>
      </c>
      <c r="K613" s="3">
        <v>170.27459999999999</v>
      </c>
    </row>
    <row r="614" spans="1:11" ht="15.6" x14ac:dyDescent="0.3">
      <c r="A614" s="7">
        <v>42419</v>
      </c>
      <c r="B614" s="8">
        <f>YEAR(A614)</f>
        <v>2016</v>
      </c>
      <c r="C614" s="8">
        <f>MONTH(A614)</f>
        <v>2</v>
      </c>
      <c r="D614" s="3" t="s">
        <v>10</v>
      </c>
      <c r="E614" s="3" t="s">
        <v>26</v>
      </c>
      <c r="F614" s="3" t="s">
        <v>30</v>
      </c>
      <c r="G614" s="3" t="s">
        <v>33</v>
      </c>
      <c r="H614" s="3" t="s">
        <v>60</v>
      </c>
      <c r="I614" s="3">
        <v>57.47</v>
      </c>
      <c r="J614" s="3">
        <v>3</v>
      </c>
      <c r="K614" s="3">
        <v>16.3324</v>
      </c>
    </row>
    <row r="615" spans="1:11" ht="15.6" x14ac:dyDescent="0.3">
      <c r="A615" s="7">
        <v>42420</v>
      </c>
      <c r="B615" s="8">
        <f>YEAR(A615)</f>
        <v>2016</v>
      </c>
      <c r="C615" s="8">
        <f>MONTH(A615)</f>
        <v>2</v>
      </c>
      <c r="D615" s="3" t="s">
        <v>14</v>
      </c>
      <c r="E615" s="3" t="s">
        <v>22</v>
      </c>
      <c r="F615" s="3" t="s">
        <v>30</v>
      </c>
      <c r="G615" s="3" t="s">
        <v>37</v>
      </c>
      <c r="H615" s="3" t="s">
        <v>51</v>
      </c>
      <c r="I615" s="3">
        <v>466.36</v>
      </c>
      <c r="J615" s="3">
        <v>3</v>
      </c>
      <c r="K615" s="3">
        <v>-13.292899999999999</v>
      </c>
    </row>
    <row r="616" spans="1:11" ht="15.6" x14ac:dyDescent="0.3">
      <c r="A616" s="7">
        <v>42420</v>
      </c>
      <c r="B616" s="8">
        <f>YEAR(A616)</f>
        <v>2016</v>
      </c>
      <c r="C616" s="8">
        <f>MONTH(A616)</f>
        <v>2</v>
      </c>
      <c r="D616" s="3" t="s">
        <v>12</v>
      </c>
      <c r="E616" s="3" t="s">
        <v>20</v>
      </c>
      <c r="F616" s="3" t="s">
        <v>30</v>
      </c>
      <c r="G616" s="3" t="s">
        <v>37</v>
      </c>
      <c r="H616" s="3" t="s">
        <v>51</v>
      </c>
      <c r="I616" s="3">
        <v>1193.58</v>
      </c>
      <c r="J616" s="3">
        <v>9</v>
      </c>
      <c r="K616" s="3">
        <v>-213.44399999999999</v>
      </c>
    </row>
    <row r="617" spans="1:11" ht="15.6" x14ac:dyDescent="0.3">
      <c r="A617" s="7">
        <v>42421</v>
      </c>
      <c r="B617" s="8">
        <f>YEAR(A617)</f>
        <v>2016</v>
      </c>
      <c r="C617" s="8">
        <f>MONTH(A617)</f>
        <v>2</v>
      </c>
      <c r="D617" s="3" t="s">
        <v>16</v>
      </c>
      <c r="E617" s="3" t="s">
        <v>27</v>
      </c>
      <c r="F617" s="3" t="s">
        <v>30</v>
      </c>
      <c r="G617" s="3" t="s">
        <v>42</v>
      </c>
      <c r="H617" s="3" t="s">
        <v>58</v>
      </c>
      <c r="I617" s="3">
        <v>115.6</v>
      </c>
      <c r="J617" s="3">
        <v>5</v>
      </c>
      <c r="K617" s="3">
        <v>-30.8065</v>
      </c>
    </row>
    <row r="618" spans="1:11" ht="15.6" x14ac:dyDescent="0.3">
      <c r="A618" s="7">
        <v>42423</v>
      </c>
      <c r="B618" s="8">
        <f>YEAR(A618)</f>
        <v>2016</v>
      </c>
      <c r="C618" s="8">
        <f>MONTH(A618)</f>
        <v>2</v>
      </c>
      <c r="D618" s="3" t="s">
        <v>10</v>
      </c>
      <c r="E618" s="3" t="s">
        <v>24</v>
      </c>
      <c r="F618" s="3" t="s">
        <v>29</v>
      </c>
      <c r="G618" s="3" t="s">
        <v>40</v>
      </c>
      <c r="H618" s="3" t="s">
        <v>61</v>
      </c>
      <c r="I618" s="3">
        <v>939.39</v>
      </c>
      <c r="J618" s="3">
        <v>6</v>
      </c>
      <c r="K618" s="3">
        <v>-37.797899999999998</v>
      </c>
    </row>
    <row r="619" spans="1:11" ht="15.6" x14ac:dyDescent="0.3">
      <c r="A619" s="7">
        <v>42424</v>
      </c>
      <c r="B619" s="8">
        <f>YEAR(A619)</f>
        <v>2016</v>
      </c>
      <c r="C619" s="8">
        <f>MONTH(A619)</f>
        <v>2</v>
      </c>
      <c r="D619" s="3" t="s">
        <v>13</v>
      </c>
      <c r="E619" s="3" t="s">
        <v>25</v>
      </c>
      <c r="F619" s="3" t="s">
        <v>31</v>
      </c>
      <c r="G619" s="3" t="s">
        <v>39</v>
      </c>
      <c r="H619" s="3" t="s">
        <v>54</v>
      </c>
      <c r="I619" s="3">
        <v>111.75</v>
      </c>
      <c r="J619" s="3">
        <v>2</v>
      </c>
      <c r="K619" s="3">
        <v>-36.050400000000003</v>
      </c>
    </row>
    <row r="620" spans="1:11" ht="15.6" x14ac:dyDescent="0.3">
      <c r="A620" s="7">
        <v>42424</v>
      </c>
      <c r="B620" s="8">
        <f>YEAR(A620)</f>
        <v>2016</v>
      </c>
      <c r="C620" s="8">
        <f>MONTH(A620)</f>
        <v>2</v>
      </c>
      <c r="D620" s="3" t="s">
        <v>10</v>
      </c>
      <c r="E620" s="3" t="s">
        <v>28</v>
      </c>
      <c r="F620" s="3" t="s">
        <v>30</v>
      </c>
      <c r="G620" s="3" t="s">
        <v>42</v>
      </c>
      <c r="H620" s="3" t="s">
        <v>67</v>
      </c>
      <c r="I620" s="3">
        <v>169</v>
      </c>
      <c r="J620" s="3">
        <v>4</v>
      </c>
      <c r="K620" s="3">
        <v>13.856199999999999</v>
      </c>
    </row>
    <row r="621" spans="1:11" ht="15.6" x14ac:dyDescent="0.3">
      <c r="A621" s="7">
        <v>42425</v>
      </c>
      <c r="B621" s="8">
        <f>YEAR(A621)</f>
        <v>2016</v>
      </c>
      <c r="C621" s="8">
        <f>MONTH(A621)</f>
        <v>2</v>
      </c>
      <c r="D621" s="3" t="s">
        <v>18</v>
      </c>
      <c r="E621" s="3" t="s">
        <v>27</v>
      </c>
      <c r="F621" s="3" t="s">
        <v>30</v>
      </c>
      <c r="G621" s="3" t="s">
        <v>42</v>
      </c>
      <c r="H621" s="3" t="s">
        <v>67</v>
      </c>
      <c r="I621" s="3">
        <v>286.45</v>
      </c>
      <c r="J621" s="3">
        <v>5</v>
      </c>
      <c r="K621" s="3">
        <v>90.382499999999993</v>
      </c>
    </row>
    <row r="622" spans="1:11" ht="15.6" x14ac:dyDescent="0.3">
      <c r="A622" s="7">
        <v>42426</v>
      </c>
      <c r="B622" s="8">
        <f>YEAR(A622)</f>
        <v>2016</v>
      </c>
      <c r="C622" s="8">
        <f>MONTH(A622)</f>
        <v>2</v>
      </c>
      <c r="D622" s="3" t="s">
        <v>9</v>
      </c>
      <c r="E622" s="3" t="s">
        <v>20</v>
      </c>
      <c r="F622" s="3" t="s">
        <v>30</v>
      </c>
      <c r="G622" s="3" t="s">
        <v>42</v>
      </c>
      <c r="H622" s="3" t="s">
        <v>58</v>
      </c>
      <c r="I622" s="3">
        <v>425.09</v>
      </c>
      <c r="J622" s="3">
        <v>7</v>
      </c>
      <c r="K622" s="3">
        <v>-69.7667</v>
      </c>
    </row>
    <row r="623" spans="1:11" ht="15.6" x14ac:dyDescent="0.3">
      <c r="A623" s="7">
        <v>42429</v>
      </c>
      <c r="B623" s="8">
        <f>YEAR(A623)</f>
        <v>2016</v>
      </c>
      <c r="C623" s="8">
        <f>MONTH(A623)</f>
        <v>2</v>
      </c>
      <c r="D623" s="3" t="s">
        <v>10</v>
      </c>
      <c r="E623" s="3" t="s">
        <v>20</v>
      </c>
      <c r="F623" s="3" t="s">
        <v>30</v>
      </c>
      <c r="G623" s="3" t="s">
        <v>35</v>
      </c>
      <c r="H623" s="3" t="s">
        <v>59</v>
      </c>
      <c r="I623" s="3">
        <v>231.41</v>
      </c>
      <c r="J623" s="3">
        <v>9</v>
      </c>
      <c r="K623" s="3">
        <v>21.441800000000001</v>
      </c>
    </row>
    <row r="624" spans="1:11" ht="15.6" x14ac:dyDescent="0.3">
      <c r="A624" s="7">
        <v>42432</v>
      </c>
      <c r="B624" s="8">
        <f>YEAR(A624)</f>
        <v>2016</v>
      </c>
      <c r="C624" s="8">
        <f>MONTH(A624)</f>
        <v>3</v>
      </c>
      <c r="D624" s="3" t="s">
        <v>18</v>
      </c>
      <c r="E624" s="3" t="s">
        <v>20</v>
      </c>
      <c r="F624" s="3" t="s">
        <v>31</v>
      </c>
      <c r="G624" s="3" t="s">
        <v>36</v>
      </c>
      <c r="H624" s="3" t="s">
        <v>50</v>
      </c>
      <c r="I624" s="3">
        <v>216.74</v>
      </c>
      <c r="J624" s="3">
        <v>1</v>
      </c>
      <c r="K624" s="3">
        <v>-66.415000000000006</v>
      </c>
    </row>
    <row r="625" spans="1:11" ht="15.6" x14ac:dyDescent="0.3">
      <c r="A625" s="7">
        <v>42435</v>
      </c>
      <c r="B625" s="8">
        <f>YEAR(A625)</f>
        <v>2016</v>
      </c>
      <c r="C625" s="8">
        <f>MONTH(A625)</f>
        <v>3</v>
      </c>
      <c r="D625" s="3" t="s">
        <v>18</v>
      </c>
      <c r="E625" s="3" t="s">
        <v>21</v>
      </c>
      <c r="F625" s="3" t="s">
        <v>29</v>
      </c>
      <c r="G625" s="3" t="s">
        <v>32</v>
      </c>
      <c r="H625" s="3" t="s">
        <v>48</v>
      </c>
      <c r="I625" s="3">
        <v>735.51</v>
      </c>
      <c r="J625" s="3">
        <v>10</v>
      </c>
      <c r="K625" s="3">
        <v>-231.18989999999999</v>
      </c>
    </row>
    <row r="626" spans="1:11" ht="15.6" x14ac:dyDescent="0.3">
      <c r="A626" s="7">
        <v>42435</v>
      </c>
      <c r="B626" s="8">
        <f>YEAR(A626)</f>
        <v>2016</v>
      </c>
      <c r="C626" s="8">
        <f>MONTH(A626)</f>
        <v>3</v>
      </c>
      <c r="D626" s="3" t="s">
        <v>18</v>
      </c>
      <c r="E626" s="3" t="s">
        <v>27</v>
      </c>
      <c r="F626" s="3" t="s">
        <v>29</v>
      </c>
      <c r="G626" s="3" t="s">
        <v>40</v>
      </c>
      <c r="H626" s="3" t="s">
        <v>56</v>
      </c>
      <c r="I626" s="3">
        <v>328.17</v>
      </c>
      <c r="J626" s="3">
        <v>1</v>
      </c>
      <c r="K626" s="3">
        <v>-52.783499999999997</v>
      </c>
    </row>
    <row r="627" spans="1:11" ht="15.6" x14ac:dyDescent="0.3">
      <c r="A627" s="7">
        <v>42435</v>
      </c>
      <c r="B627" s="8">
        <f>YEAR(A627)</f>
        <v>2016</v>
      </c>
      <c r="C627" s="8">
        <f>MONTH(A627)</f>
        <v>3</v>
      </c>
      <c r="D627" s="3" t="s">
        <v>18</v>
      </c>
      <c r="E627" s="3" t="s">
        <v>24</v>
      </c>
      <c r="F627" s="3" t="s">
        <v>30</v>
      </c>
      <c r="G627" s="3" t="s">
        <v>42</v>
      </c>
      <c r="H627" s="3" t="s">
        <v>58</v>
      </c>
      <c r="I627" s="3">
        <v>791.22</v>
      </c>
      <c r="J627" s="3">
        <v>9</v>
      </c>
      <c r="K627" s="3">
        <v>53.785400000000003</v>
      </c>
    </row>
    <row r="628" spans="1:11" ht="15.6" x14ac:dyDescent="0.3">
      <c r="A628" s="7">
        <v>42435</v>
      </c>
      <c r="B628" s="8">
        <f>YEAR(A628)</f>
        <v>2016</v>
      </c>
      <c r="C628" s="8">
        <f>MONTH(A628)</f>
        <v>3</v>
      </c>
      <c r="D628" s="3" t="s">
        <v>13</v>
      </c>
      <c r="E628" s="3" t="s">
        <v>20</v>
      </c>
      <c r="F628" s="3" t="s">
        <v>30</v>
      </c>
      <c r="G628" s="3" t="s">
        <v>35</v>
      </c>
      <c r="H628" s="3" t="s">
        <v>49</v>
      </c>
      <c r="I628" s="3">
        <v>936.49</v>
      </c>
      <c r="J628" s="3">
        <v>5</v>
      </c>
      <c r="K628" s="3">
        <v>79.953800000000001</v>
      </c>
    </row>
    <row r="629" spans="1:11" ht="15.6" x14ac:dyDescent="0.3">
      <c r="A629" s="7">
        <v>42436</v>
      </c>
      <c r="B629" s="8">
        <f>YEAR(A629)</f>
        <v>2016</v>
      </c>
      <c r="C629" s="8">
        <f>MONTH(A629)</f>
        <v>3</v>
      </c>
      <c r="D629" s="3" t="s">
        <v>17</v>
      </c>
      <c r="E629" s="3" t="s">
        <v>24</v>
      </c>
      <c r="F629" s="3" t="s">
        <v>31</v>
      </c>
      <c r="G629" s="3" t="s">
        <v>38</v>
      </c>
      <c r="H629" s="3" t="s">
        <v>53</v>
      </c>
      <c r="I629" s="3">
        <v>10.32</v>
      </c>
      <c r="J629" s="3">
        <v>4</v>
      </c>
      <c r="K629" s="3">
        <v>-2.5352000000000001</v>
      </c>
    </row>
    <row r="630" spans="1:11" ht="15.6" x14ac:dyDescent="0.3">
      <c r="A630" s="7">
        <v>42436</v>
      </c>
      <c r="B630" s="8">
        <f>YEAR(A630)</f>
        <v>2016</v>
      </c>
      <c r="C630" s="8">
        <f>MONTH(A630)</f>
        <v>3</v>
      </c>
      <c r="D630" s="3" t="s">
        <v>9</v>
      </c>
      <c r="E630" s="3" t="s">
        <v>21</v>
      </c>
      <c r="F630" s="3" t="s">
        <v>29</v>
      </c>
      <c r="G630" s="3" t="s">
        <v>41</v>
      </c>
      <c r="H630" s="3" t="s">
        <v>65</v>
      </c>
      <c r="I630" s="3">
        <v>819.32</v>
      </c>
      <c r="J630" s="3">
        <v>5</v>
      </c>
      <c r="K630" s="3">
        <v>247.5669</v>
      </c>
    </row>
    <row r="631" spans="1:11" ht="15.6" x14ac:dyDescent="0.3">
      <c r="A631" s="7">
        <v>42436</v>
      </c>
      <c r="B631" s="8">
        <f>YEAR(A631)</f>
        <v>2016</v>
      </c>
      <c r="C631" s="8">
        <f>MONTH(A631)</f>
        <v>3</v>
      </c>
      <c r="D631" s="3" t="s">
        <v>12</v>
      </c>
      <c r="E631" s="3" t="s">
        <v>28</v>
      </c>
      <c r="F631" s="3" t="s">
        <v>31</v>
      </c>
      <c r="G631" s="3" t="s">
        <v>43</v>
      </c>
      <c r="H631" s="3" t="s">
        <v>68</v>
      </c>
      <c r="I631" s="3">
        <v>587.51</v>
      </c>
      <c r="J631" s="3">
        <v>2</v>
      </c>
      <c r="K631" s="3">
        <v>15.652100000000001</v>
      </c>
    </row>
    <row r="632" spans="1:11" ht="15.6" x14ac:dyDescent="0.3">
      <c r="A632" s="7">
        <v>42438</v>
      </c>
      <c r="B632" s="8">
        <f>YEAR(A632)</f>
        <v>2016</v>
      </c>
      <c r="C632" s="8">
        <f>MONTH(A632)</f>
        <v>3</v>
      </c>
      <c r="D632" s="3" t="s">
        <v>18</v>
      </c>
      <c r="E632" s="3" t="s">
        <v>21</v>
      </c>
      <c r="F632" s="3" t="s">
        <v>30</v>
      </c>
      <c r="G632" s="3" t="s">
        <v>33</v>
      </c>
      <c r="H632" s="3" t="s">
        <v>60</v>
      </c>
      <c r="I632" s="3">
        <v>572.13</v>
      </c>
      <c r="J632" s="3">
        <v>3</v>
      </c>
      <c r="K632" s="3">
        <v>-1.2405999999999999</v>
      </c>
    </row>
    <row r="633" spans="1:11" ht="15.6" x14ac:dyDescent="0.3">
      <c r="A633" s="7">
        <v>42439</v>
      </c>
      <c r="B633" s="8">
        <f>YEAR(A633)</f>
        <v>2016</v>
      </c>
      <c r="C633" s="8">
        <f>MONTH(A633)</f>
        <v>3</v>
      </c>
      <c r="D633" s="3" t="s">
        <v>9</v>
      </c>
      <c r="E633" s="3" t="s">
        <v>21</v>
      </c>
      <c r="F633" s="3" t="s">
        <v>31</v>
      </c>
      <c r="G633" s="3" t="s">
        <v>39</v>
      </c>
      <c r="H633" s="3" t="s">
        <v>54</v>
      </c>
      <c r="I633" s="3">
        <v>1048.6300000000001</v>
      </c>
      <c r="J633" s="3">
        <v>1</v>
      </c>
      <c r="K633" s="3">
        <v>80.485600000000005</v>
      </c>
    </row>
    <row r="634" spans="1:11" ht="15.6" x14ac:dyDescent="0.3">
      <c r="A634" s="7">
        <v>42440</v>
      </c>
      <c r="B634" s="8">
        <f>YEAR(A634)</f>
        <v>2016</v>
      </c>
      <c r="C634" s="8">
        <f>MONTH(A634)</f>
        <v>3</v>
      </c>
      <c r="D634" s="3" t="s">
        <v>11</v>
      </c>
      <c r="E634" s="3" t="s">
        <v>28</v>
      </c>
      <c r="F634" s="3" t="s">
        <v>30</v>
      </c>
      <c r="G634" s="3" t="s">
        <v>35</v>
      </c>
      <c r="H634" s="3" t="s">
        <v>49</v>
      </c>
      <c r="I634" s="3">
        <v>957.14</v>
      </c>
      <c r="J634" s="3">
        <v>9</v>
      </c>
      <c r="K634" s="3">
        <v>-171.10419999999999</v>
      </c>
    </row>
    <row r="635" spans="1:11" ht="15.6" x14ac:dyDescent="0.3">
      <c r="A635" s="7">
        <v>42442</v>
      </c>
      <c r="B635" s="8">
        <f>YEAR(A635)</f>
        <v>2016</v>
      </c>
      <c r="C635" s="8">
        <f>MONTH(A635)</f>
        <v>3</v>
      </c>
      <c r="D635" s="3" t="s">
        <v>11</v>
      </c>
      <c r="E635" s="3" t="s">
        <v>23</v>
      </c>
      <c r="F635" s="3" t="s">
        <v>30</v>
      </c>
      <c r="G635" s="3" t="s">
        <v>35</v>
      </c>
      <c r="H635" s="3" t="s">
        <v>59</v>
      </c>
      <c r="I635" s="3">
        <v>358.17</v>
      </c>
      <c r="J635" s="3">
        <v>1</v>
      </c>
      <c r="K635" s="3">
        <v>67.282700000000006</v>
      </c>
    </row>
    <row r="636" spans="1:11" ht="15.6" x14ac:dyDescent="0.3">
      <c r="A636" s="7">
        <v>42443</v>
      </c>
      <c r="B636" s="8">
        <f>YEAR(A636)</f>
        <v>2016</v>
      </c>
      <c r="C636" s="8">
        <f>MONTH(A636)</f>
        <v>3</v>
      </c>
      <c r="D636" s="3" t="s">
        <v>10</v>
      </c>
      <c r="E636" s="3" t="s">
        <v>28</v>
      </c>
      <c r="F636" s="3" t="s">
        <v>29</v>
      </c>
      <c r="G636" s="3" t="s">
        <v>41</v>
      </c>
      <c r="H636" s="3" t="s">
        <v>65</v>
      </c>
      <c r="I636" s="3">
        <v>271.85000000000002</v>
      </c>
      <c r="J636" s="3">
        <v>10</v>
      </c>
      <c r="K636" s="3">
        <v>40.755800000000001</v>
      </c>
    </row>
    <row r="637" spans="1:11" ht="15.6" x14ac:dyDescent="0.3">
      <c r="A637" s="7">
        <v>42444</v>
      </c>
      <c r="B637" s="8">
        <f>YEAR(A637)</f>
        <v>2016</v>
      </c>
      <c r="C637" s="8">
        <f>MONTH(A637)</f>
        <v>3</v>
      </c>
      <c r="D637" s="3" t="s">
        <v>12</v>
      </c>
      <c r="E637" s="3" t="s">
        <v>24</v>
      </c>
      <c r="F637" s="3" t="s">
        <v>30</v>
      </c>
      <c r="G637" s="3" t="s">
        <v>37</v>
      </c>
      <c r="H637" s="3" t="s">
        <v>64</v>
      </c>
      <c r="I637" s="3">
        <v>589.9</v>
      </c>
      <c r="J637" s="3">
        <v>10</v>
      </c>
      <c r="K637" s="3">
        <v>43.830399999999997</v>
      </c>
    </row>
    <row r="638" spans="1:11" ht="15.6" x14ac:dyDescent="0.3">
      <c r="A638" s="7">
        <v>42444</v>
      </c>
      <c r="B638" s="8">
        <f>YEAR(A638)</f>
        <v>2016</v>
      </c>
      <c r="C638" s="8">
        <f>MONTH(A638)</f>
        <v>3</v>
      </c>
      <c r="D638" s="3" t="s">
        <v>16</v>
      </c>
      <c r="E638" s="3" t="s">
        <v>23</v>
      </c>
      <c r="F638" s="3" t="s">
        <v>30</v>
      </c>
      <c r="G638" s="3" t="s">
        <v>42</v>
      </c>
      <c r="H638" s="3" t="s">
        <v>69</v>
      </c>
      <c r="I638" s="3">
        <v>688.26</v>
      </c>
      <c r="J638" s="3">
        <v>8</v>
      </c>
      <c r="K638" s="3">
        <v>-196.02160000000001</v>
      </c>
    </row>
    <row r="639" spans="1:11" ht="15.6" x14ac:dyDescent="0.3">
      <c r="A639" s="7">
        <v>42444</v>
      </c>
      <c r="B639" s="8">
        <f>YEAR(A639)</f>
        <v>2016</v>
      </c>
      <c r="C639" s="8">
        <f>MONTH(A639)</f>
        <v>3</v>
      </c>
      <c r="D639" s="3" t="s">
        <v>12</v>
      </c>
      <c r="E639" s="3" t="s">
        <v>22</v>
      </c>
      <c r="F639" s="3" t="s">
        <v>29</v>
      </c>
      <c r="G639" s="3" t="s">
        <v>40</v>
      </c>
      <c r="H639" s="3" t="s">
        <v>56</v>
      </c>
      <c r="I639" s="3">
        <v>648.07000000000005</v>
      </c>
      <c r="J639" s="3">
        <v>2</v>
      </c>
      <c r="K639" s="3">
        <v>2.5838999999999999</v>
      </c>
    </row>
    <row r="640" spans="1:11" ht="15.6" x14ac:dyDescent="0.3">
      <c r="A640" s="7">
        <v>42446</v>
      </c>
      <c r="B640" s="8">
        <f>YEAR(A640)</f>
        <v>2016</v>
      </c>
      <c r="C640" s="8">
        <f>MONTH(A640)</f>
        <v>3</v>
      </c>
      <c r="D640" s="3" t="s">
        <v>17</v>
      </c>
      <c r="E640" s="3" t="s">
        <v>26</v>
      </c>
      <c r="F640" s="3" t="s">
        <v>30</v>
      </c>
      <c r="G640" s="3" t="s">
        <v>35</v>
      </c>
      <c r="H640" s="3" t="s">
        <v>49</v>
      </c>
      <c r="I640" s="3">
        <v>450.97</v>
      </c>
      <c r="J640" s="3">
        <v>6</v>
      </c>
      <c r="K640" s="3">
        <v>8.2860999999999994</v>
      </c>
    </row>
    <row r="641" spans="1:11" ht="15.6" x14ac:dyDescent="0.3">
      <c r="A641" s="7">
        <v>42447</v>
      </c>
      <c r="B641" s="8">
        <f>YEAR(A641)</f>
        <v>2016</v>
      </c>
      <c r="C641" s="8">
        <f>MONTH(A641)</f>
        <v>3</v>
      </c>
      <c r="D641" s="3" t="s">
        <v>16</v>
      </c>
      <c r="E641" s="3" t="s">
        <v>19</v>
      </c>
      <c r="F641" s="3" t="s">
        <v>30</v>
      </c>
      <c r="G641" s="3" t="s">
        <v>33</v>
      </c>
      <c r="H641" s="3" t="s">
        <v>60</v>
      </c>
      <c r="I641" s="3">
        <v>752.13</v>
      </c>
      <c r="J641" s="3">
        <v>7</v>
      </c>
      <c r="K641" s="3">
        <v>-71.81</v>
      </c>
    </row>
    <row r="642" spans="1:11" ht="15.6" x14ac:dyDescent="0.3">
      <c r="A642" s="7">
        <v>42447</v>
      </c>
      <c r="B642" s="8">
        <f>YEAR(A642)</f>
        <v>2016</v>
      </c>
      <c r="C642" s="8">
        <f>MONTH(A642)</f>
        <v>3</v>
      </c>
      <c r="D642" s="3" t="s">
        <v>9</v>
      </c>
      <c r="E642" s="3" t="s">
        <v>27</v>
      </c>
      <c r="F642" s="3" t="s">
        <v>30</v>
      </c>
      <c r="G642" s="3" t="s">
        <v>37</v>
      </c>
      <c r="H642" s="3" t="s">
        <v>64</v>
      </c>
      <c r="I642" s="3">
        <v>451.4</v>
      </c>
      <c r="J642" s="3">
        <v>2</v>
      </c>
      <c r="K642" s="3">
        <v>102.79859999999999</v>
      </c>
    </row>
    <row r="643" spans="1:11" ht="15.6" x14ac:dyDescent="0.3">
      <c r="A643" s="7">
        <v>42448</v>
      </c>
      <c r="B643" s="8">
        <f>YEAR(A643)</f>
        <v>2016</v>
      </c>
      <c r="C643" s="8">
        <f>MONTH(A643)</f>
        <v>3</v>
      </c>
      <c r="D643" s="3" t="s">
        <v>14</v>
      </c>
      <c r="E643" s="3" t="s">
        <v>22</v>
      </c>
      <c r="F643" s="3" t="s">
        <v>29</v>
      </c>
      <c r="G643" s="3" t="s">
        <v>32</v>
      </c>
      <c r="H643" s="3" t="s">
        <v>44</v>
      </c>
      <c r="I643" s="3">
        <v>21.63</v>
      </c>
      <c r="J643" s="3">
        <v>9</v>
      </c>
      <c r="K643" s="3">
        <v>-6.6471</v>
      </c>
    </row>
    <row r="644" spans="1:11" ht="15.6" x14ac:dyDescent="0.3">
      <c r="A644" s="7">
        <v>42448</v>
      </c>
      <c r="B644" s="8">
        <f>YEAR(A644)</f>
        <v>2016</v>
      </c>
      <c r="C644" s="8">
        <f>MONTH(A644)</f>
        <v>3</v>
      </c>
      <c r="D644" s="3" t="s">
        <v>9</v>
      </c>
      <c r="E644" s="3" t="s">
        <v>22</v>
      </c>
      <c r="F644" s="3" t="s">
        <v>29</v>
      </c>
      <c r="G644" s="3" t="s">
        <v>41</v>
      </c>
      <c r="H644" s="3" t="s">
        <v>57</v>
      </c>
      <c r="I644" s="3">
        <v>144.43</v>
      </c>
      <c r="J644" s="3">
        <v>3</v>
      </c>
      <c r="K644" s="3">
        <v>13.266</v>
      </c>
    </row>
    <row r="645" spans="1:11" ht="15.6" x14ac:dyDescent="0.3">
      <c r="A645" s="7">
        <v>42449</v>
      </c>
      <c r="B645" s="8">
        <f>YEAR(A645)</f>
        <v>2016</v>
      </c>
      <c r="C645" s="8">
        <f>MONTH(A645)</f>
        <v>3</v>
      </c>
      <c r="D645" s="3" t="s">
        <v>15</v>
      </c>
      <c r="E645" s="3" t="s">
        <v>23</v>
      </c>
      <c r="F645" s="3" t="s">
        <v>29</v>
      </c>
      <c r="G645" s="3" t="s">
        <v>32</v>
      </c>
      <c r="H645" s="3" t="s">
        <v>48</v>
      </c>
      <c r="I645" s="3">
        <v>329.14</v>
      </c>
      <c r="J645" s="3">
        <v>8</v>
      </c>
      <c r="K645" s="3">
        <v>61.131300000000003</v>
      </c>
    </row>
    <row r="646" spans="1:11" ht="15.6" x14ac:dyDescent="0.3">
      <c r="A646" s="7">
        <v>42451</v>
      </c>
      <c r="B646" s="8">
        <f>YEAR(A646)</f>
        <v>2016</v>
      </c>
      <c r="C646" s="8">
        <f>MONTH(A646)</f>
        <v>3</v>
      </c>
      <c r="D646" s="3" t="s">
        <v>17</v>
      </c>
      <c r="E646" s="3" t="s">
        <v>24</v>
      </c>
      <c r="F646" s="3" t="s">
        <v>30</v>
      </c>
      <c r="G646" s="3" t="s">
        <v>35</v>
      </c>
      <c r="H646" s="3" t="s">
        <v>59</v>
      </c>
      <c r="I646" s="3">
        <v>137.58000000000001</v>
      </c>
      <c r="J646" s="3">
        <v>5</v>
      </c>
      <c r="K646" s="3">
        <v>3.6907999999999999</v>
      </c>
    </row>
    <row r="647" spans="1:11" ht="15.6" x14ac:dyDescent="0.3">
      <c r="A647" s="7">
        <v>42452</v>
      </c>
      <c r="B647" s="8">
        <f>YEAR(A647)</f>
        <v>2016</v>
      </c>
      <c r="C647" s="8">
        <f>MONTH(A647)</f>
        <v>3</v>
      </c>
      <c r="D647" s="3" t="s">
        <v>16</v>
      </c>
      <c r="E647" s="3" t="s">
        <v>25</v>
      </c>
      <c r="F647" s="3" t="s">
        <v>31</v>
      </c>
      <c r="G647" s="3" t="s">
        <v>38</v>
      </c>
      <c r="H647" s="3" t="s">
        <v>63</v>
      </c>
      <c r="I647" s="3">
        <v>439.82</v>
      </c>
      <c r="J647" s="3">
        <v>1</v>
      </c>
      <c r="K647" s="3">
        <v>42.666400000000003</v>
      </c>
    </row>
    <row r="648" spans="1:11" ht="15.6" x14ac:dyDescent="0.3">
      <c r="A648" s="7">
        <v>42453</v>
      </c>
      <c r="B648" s="8">
        <f>YEAR(A648)</f>
        <v>2016</v>
      </c>
      <c r="C648" s="8">
        <f>MONTH(A648)</f>
        <v>3</v>
      </c>
      <c r="D648" s="3" t="s">
        <v>10</v>
      </c>
      <c r="E648" s="3" t="s">
        <v>23</v>
      </c>
      <c r="F648" s="3" t="s">
        <v>31</v>
      </c>
      <c r="G648" s="3" t="s">
        <v>36</v>
      </c>
      <c r="H648" s="3" t="s">
        <v>50</v>
      </c>
      <c r="I648" s="3">
        <v>5.23</v>
      </c>
      <c r="J648" s="3">
        <v>1</v>
      </c>
      <c r="K648" s="3">
        <v>1.7636000000000001</v>
      </c>
    </row>
    <row r="649" spans="1:11" ht="15.6" x14ac:dyDescent="0.3">
      <c r="A649" s="7">
        <v>42454</v>
      </c>
      <c r="B649" s="8">
        <f>YEAR(A649)</f>
        <v>2016</v>
      </c>
      <c r="C649" s="8">
        <f>MONTH(A649)</f>
        <v>3</v>
      </c>
      <c r="D649" s="3" t="s">
        <v>16</v>
      </c>
      <c r="E649" s="3" t="s">
        <v>20</v>
      </c>
      <c r="F649" s="3" t="s">
        <v>31</v>
      </c>
      <c r="G649" s="3" t="s">
        <v>39</v>
      </c>
      <c r="H649" s="3" t="s">
        <v>71</v>
      </c>
      <c r="I649" s="3">
        <v>567.78</v>
      </c>
      <c r="J649" s="3">
        <v>5</v>
      </c>
      <c r="K649" s="3">
        <v>-188.30269999999999</v>
      </c>
    </row>
    <row r="650" spans="1:11" ht="15.6" x14ac:dyDescent="0.3">
      <c r="A650" s="7">
        <v>42458</v>
      </c>
      <c r="B650" s="8">
        <f>YEAR(A650)</f>
        <v>2016</v>
      </c>
      <c r="C650" s="8">
        <f>MONTH(A650)</f>
        <v>3</v>
      </c>
      <c r="D650" s="3" t="s">
        <v>17</v>
      </c>
      <c r="E650" s="3" t="s">
        <v>21</v>
      </c>
      <c r="F650" s="3" t="s">
        <v>31</v>
      </c>
      <c r="G650" s="3" t="s">
        <v>39</v>
      </c>
      <c r="H650" s="3" t="s">
        <v>71</v>
      </c>
      <c r="I650" s="3">
        <v>585.89</v>
      </c>
      <c r="J650" s="3">
        <v>10</v>
      </c>
      <c r="K650" s="3">
        <v>84.052199999999999</v>
      </c>
    </row>
    <row r="651" spans="1:11" ht="15.6" x14ac:dyDescent="0.3">
      <c r="A651" s="7">
        <v>42459</v>
      </c>
      <c r="B651" s="8">
        <f>YEAR(A651)</f>
        <v>2016</v>
      </c>
      <c r="C651" s="8">
        <f>MONTH(A651)</f>
        <v>3</v>
      </c>
      <c r="D651" s="3" t="s">
        <v>13</v>
      </c>
      <c r="E651" s="3" t="s">
        <v>28</v>
      </c>
      <c r="F651" s="3" t="s">
        <v>31</v>
      </c>
      <c r="G651" s="3" t="s">
        <v>38</v>
      </c>
      <c r="H651" s="3" t="s">
        <v>53</v>
      </c>
      <c r="I651" s="3">
        <v>430.54</v>
      </c>
      <c r="J651" s="3">
        <v>10</v>
      </c>
      <c r="K651" s="3">
        <v>134.58860000000001</v>
      </c>
    </row>
    <row r="652" spans="1:11" ht="15.6" x14ac:dyDescent="0.3">
      <c r="A652" s="7">
        <v>42460</v>
      </c>
      <c r="B652" s="8">
        <f>YEAR(A652)</f>
        <v>2016</v>
      </c>
      <c r="C652" s="8">
        <f>MONTH(A652)</f>
        <v>3</v>
      </c>
      <c r="D652" s="3" t="s">
        <v>16</v>
      </c>
      <c r="E652" s="3" t="s">
        <v>27</v>
      </c>
      <c r="F652" s="3" t="s">
        <v>31</v>
      </c>
      <c r="G652" s="3" t="s">
        <v>34</v>
      </c>
      <c r="H652" s="3" t="s">
        <v>46</v>
      </c>
      <c r="I652" s="3">
        <v>66.13</v>
      </c>
      <c r="J652" s="3">
        <v>9</v>
      </c>
      <c r="K652" s="3">
        <v>-16.797599999999999</v>
      </c>
    </row>
    <row r="653" spans="1:11" ht="15.6" x14ac:dyDescent="0.3">
      <c r="A653" s="7">
        <v>42460</v>
      </c>
      <c r="B653" s="8">
        <f>YEAR(A653)</f>
        <v>2016</v>
      </c>
      <c r="C653" s="8">
        <f>MONTH(A653)</f>
        <v>3</v>
      </c>
      <c r="D653" s="3" t="s">
        <v>13</v>
      </c>
      <c r="E653" s="3" t="s">
        <v>22</v>
      </c>
      <c r="F653" s="3" t="s">
        <v>29</v>
      </c>
      <c r="G653" s="3" t="s">
        <v>32</v>
      </c>
      <c r="H653" s="3" t="s">
        <v>44</v>
      </c>
      <c r="I653" s="3">
        <v>804.76</v>
      </c>
      <c r="J653" s="3">
        <v>3</v>
      </c>
      <c r="K653" s="3">
        <v>270.61169999999998</v>
      </c>
    </row>
    <row r="654" spans="1:11" ht="15.6" x14ac:dyDescent="0.3">
      <c r="A654" s="7">
        <v>42463</v>
      </c>
      <c r="B654" s="8">
        <f>YEAR(A654)</f>
        <v>2016</v>
      </c>
      <c r="C654" s="8">
        <f>MONTH(A654)</f>
        <v>4</v>
      </c>
      <c r="D654" s="3" t="s">
        <v>14</v>
      </c>
      <c r="E654" s="3" t="s">
        <v>20</v>
      </c>
      <c r="F654" s="3" t="s">
        <v>30</v>
      </c>
      <c r="G654" s="3" t="s">
        <v>33</v>
      </c>
      <c r="H654" s="3" t="s">
        <v>55</v>
      </c>
      <c r="I654" s="3">
        <v>392.46</v>
      </c>
      <c r="J654" s="3">
        <v>10</v>
      </c>
      <c r="K654" s="3">
        <v>3.6945000000000001</v>
      </c>
    </row>
    <row r="655" spans="1:11" ht="15.6" x14ac:dyDescent="0.3">
      <c r="A655" s="7">
        <v>42465</v>
      </c>
      <c r="B655" s="8">
        <f>YEAR(A655)</f>
        <v>2016</v>
      </c>
      <c r="C655" s="8">
        <f>MONTH(A655)</f>
        <v>4</v>
      </c>
      <c r="D655" s="3" t="s">
        <v>13</v>
      </c>
      <c r="E655" s="3" t="s">
        <v>22</v>
      </c>
      <c r="F655" s="3" t="s">
        <v>31</v>
      </c>
      <c r="G655" s="3" t="s">
        <v>39</v>
      </c>
      <c r="H655" s="3" t="s">
        <v>54</v>
      </c>
      <c r="I655" s="3">
        <v>621.16</v>
      </c>
      <c r="J655" s="3">
        <v>5</v>
      </c>
      <c r="K655" s="3">
        <v>75.177599999999998</v>
      </c>
    </row>
    <row r="656" spans="1:11" ht="15.6" x14ac:dyDescent="0.3">
      <c r="A656" s="7">
        <v>42466</v>
      </c>
      <c r="B656" s="8">
        <f>YEAR(A656)</f>
        <v>2016</v>
      </c>
      <c r="C656" s="8">
        <f>MONTH(A656)</f>
        <v>4</v>
      </c>
      <c r="D656" s="3" t="s">
        <v>12</v>
      </c>
      <c r="E656" s="3" t="s">
        <v>20</v>
      </c>
      <c r="F656" s="3" t="s">
        <v>29</v>
      </c>
      <c r="G656" s="3" t="s">
        <v>41</v>
      </c>
      <c r="H656" s="3" t="s">
        <v>57</v>
      </c>
      <c r="I656" s="3">
        <v>148.26</v>
      </c>
      <c r="J656" s="3">
        <v>10</v>
      </c>
      <c r="K656" s="3">
        <v>-31.926100000000002</v>
      </c>
    </row>
    <row r="657" spans="1:11" ht="15.6" x14ac:dyDescent="0.3">
      <c r="A657" s="7">
        <v>42467</v>
      </c>
      <c r="B657" s="8">
        <f>YEAR(A657)</f>
        <v>2016</v>
      </c>
      <c r="C657" s="8">
        <f>MONTH(A657)</f>
        <v>4</v>
      </c>
      <c r="D657" s="3" t="s">
        <v>16</v>
      </c>
      <c r="E657" s="3" t="s">
        <v>24</v>
      </c>
      <c r="F657" s="3" t="s">
        <v>29</v>
      </c>
      <c r="G657" s="3" t="s">
        <v>41</v>
      </c>
      <c r="H657" s="3" t="s">
        <v>65</v>
      </c>
      <c r="I657" s="3">
        <v>692.01</v>
      </c>
      <c r="J657" s="3">
        <v>5</v>
      </c>
      <c r="K657" s="3">
        <v>-185.95959999999999</v>
      </c>
    </row>
    <row r="658" spans="1:11" ht="15.6" x14ac:dyDescent="0.3">
      <c r="A658" s="7">
        <v>42467</v>
      </c>
      <c r="B658" s="8">
        <f>YEAR(A658)</f>
        <v>2016</v>
      </c>
      <c r="C658" s="8">
        <f>MONTH(A658)</f>
        <v>4</v>
      </c>
      <c r="D658" s="3" t="s">
        <v>11</v>
      </c>
      <c r="E658" s="3" t="s">
        <v>23</v>
      </c>
      <c r="F658" s="3" t="s">
        <v>29</v>
      </c>
      <c r="G658" s="3" t="s">
        <v>40</v>
      </c>
      <c r="H658" s="3" t="s">
        <v>61</v>
      </c>
      <c r="I658" s="3">
        <v>538.20000000000005</v>
      </c>
      <c r="J658" s="3">
        <v>4</v>
      </c>
      <c r="K658" s="3">
        <v>142.99160000000001</v>
      </c>
    </row>
    <row r="659" spans="1:11" ht="15.6" x14ac:dyDescent="0.3">
      <c r="A659" s="7">
        <v>42468</v>
      </c>
      <c r="B659" s="8">
        <f>YEAR(A659)</f>
        <v>2016</v>
      </c>
      <c r="C659" s="8">
        <f>MONTH(A659)</f>
        <v>4</v>
      </c>
      <c r="D659" s="3" t="s">
        <v>14</v>
      </c>
      <c r="E659" s="3" t="s">
        <v>23</v>
      </c>
      <c r="F659" s="3" t="s">
        <v>31</v>
      </c>
      <c r="G659" s="3" t="s">
        <v>36</v>
      </c>
      <c r="H659" s="3" t="s">
        <v>50</v>
      </c>
      <c r="I659" s="3">
        <v>522.46</v>
      </c>
      <c r="J659" s="3">
        <v>1</v>
      </c>
      <c r="K659" s="3">
        <v>-56.3596</v>
      </c>
    </row>
    <row r="660" spans="1:11" ht="15.6" x14ac:dyDescent="0.3">
      <c r="A660" s="7">
        <v>42469</v>
      </c>
      <c r="B660" s="8">
        <f>YEAR(A660)</f>
        <v>2016</v>
      </c>
      <c r="C660" s="8">
        <f>MONTH(A660)</f>
        <v>4</v>
      </c>
      <c r="D660" s="3" t="s">
        <v>18</v>
      </c>
      <c r="E660" s="3" t="s">
        <v>27</v>
      </c>
      <c r="F660" s="3" t="s">
        <v>31</v>
      </c>
      <c r="G660" s="3" t="s">
        <v>43</v>
      </c>
      <c r="H660" s="3" t="s">
        <v>68</v>
      </c>
      <c r="I660" s="3">
        <v>932.58</v>
      </c>
      <c r="J660" s="3">
        <v>10</v>
      </c>
      <c r="K660" s="3">
        <v>141.28479999999999</v>
      </c>
    </row>
    <row r="661" spans="1:11" ht="15.6" x14ac:dyDescent="0.3">
      <c r="A661" s="7">
        <v>42471</v>
      </c>
      <c r="B661" s="8">
        <f>YEAR(A661)</f>
        <v>2016</v>
      </c>
      <c r="C661" s="8">
        <f>MONTH(A661)</f>
        <v>4</v>
      </c>
      <c r="D661" s="3" t="s">
        <v>16</v>
      </c>
      <c r="E661" s="3" t="s">
        <v>25</v>
      </c>
      <c r="F661" s="3" t="s">
        <v>31</v>
      </c>
      <c r="G661" s="3" t="s">
        <v>38</v>
      </c>
      <c r="H661" s="3" t="s">
        <v>63</v>
      </c>
      <c r="I661" s="3">
        <v>289.99</v>
      </c>
      <c r="J661" s="3">
        <v>3</v>
      </c>
      <c r="K661" s="3">
        <v>-74.255700000000004</v>
      </c>
    </row>
    <row r="662" spans="1:11" ht="15.6" x14ac:dyDescent="0.3">
      <c r="A662" s="7">
        <v>42474</v>
      </c>
      <c r="B662" s="8">
        <f>YEAR(A662)</f>
        <v>2016</v>
      </c>
      <c r="C662" s="8">
        <f>MONTH(A662)</f>
        <v>4</v>
      </c>
      <c r="D662" s="3" t="s">
        <v>15</v>
      </c>
      <c r="E662" s="3" t="s">
        <v>22</v>
      </c>
      <c r="F662" s="3" t="s">
        <v>31</v>
      </c>
      <c r="G662" s="3" t="s">
        <v>43</v>
      </c>
      <c r="H662" s="3" t="s">
        <v>62</v>
      </c>
      <c r="I662" s="3">
        <v>139.85</v>
      </c>
      <c r="J662" s="3">
        <v>6</v>
      </c>
      <c r="K662" s="3">
        <v>-42.974299999999999</v>
      </c>
    </row>
    <row r="663" spans="1:11" ht="15.6" x14ac:dyDescent="0.3">
      <c r="A663" s="7">
        <v>42475</v>
      </c>
      <c r="B663" s="8">
        <f>YEAR(A663)</f>
        <v>2016</v>
      </c>
      <c r="C663" s="8">
        <f>MONTH(A663)</f>
        <v>4</v>
      </c>
      <c r="D663" s="3" t="s">
        <v>12</v>
      </c>
      <c r="E663" s="3" t="s">
        <v>22</v>
      </c>
      <c r="F663" s="3" t="s">
        <v>29</v>
      </c>
      <c r="G663" s="3" t="s">
        <v>41</v>
      </c>
      <c r="H663" s="3" t="s">
        <v>65</v>
      </c>
      <c r="I663" s="3">
        <v>1127.17</v>
      </c>
      <c r="J663" s="3">
        <v>5</v>
      </c>
      <c r="K663" s="3">
        <v>-423.21039999999999</v>
      </c>
    </row>
    <row r="664" spans="1:11" ht="15.6" x14ac:dyDescent="0.3">
      <c r="A664" s="7">
        <v>42476</v>
      </c>
      <c r="B664" s="8">
        <f>YEAR(A664)</f>
        <v>2016</v>
      </c>
      <c r="C664" s="8">
        <f>MONTH(A664)</f>
        <v>4</v>
      </c>
      <c r="D664" s="3" t="s">
        <v>9</v>
      </c>
      <c r="E664" s="3" t="s">
        <v>23</v>
      </c>
      <c r="F664" s="3" t="s">
        <v>29</v>
      </c>
      <c r="G664" s="3" t="s">
        <v>32</v>
      </c>
      <c r="H664" s="3" t="s">
        <v>48</v>
      </c>
      <c r="I664" s="3">
        <v>394.79</v>
      </c>
      <c r="J664" s="3">
        <v>5</v>
      </c>
      <c r="K664" s="3">
        <v>6.2413999999999996</v>
      </c>
    </row>
    <row r="665" spans="1:11" ht="15.6" x14ac:dyDescent="0.3">
      <c r="A665" s="7">
        <v>42477</v>
      </c>
      <c r="B665" s="8">
        <f>YEAR(A665)</f>
        <v>2016</v>
      </c>
      <c r="C665" s="8">
        <f>MONTH(A665)</f>
        <v>4</v>
      </c>
      <c r="D665" s="3" t="s">
        <v>11</v>
      </c>
      <c r="E665" s="3" t="s">
        <v>20</v>
      </c>
      <c r="F665" s="3" t="s">
        <v>31</v>
      </c>
      <c r="G665" s="3" t="s">
        <v>39</v>
      </c>
      <c r="H665" s="3" t="s">
        <v>71</v>
      </c>
      <c r="I665" s="3">
        <v>220.08</v>
      </c>
      <c r="J665" s="3">
        <v>3</v>
      </c>
      <c r="K665" s="3">
        <v>38.375500000000002</v>
      </c>
    </row>
    <row r="666" spans="1:11" ht="15.6" x14ac:dyDescent="0.3">
      <c r="A666" s="7">
        <v>42478</v>
      </c>
      <c r="B666" s="8">
        <f>YEAR(A666)</f>
        <v>2016</v>
      </c>
      <c r="C666" s="8">
        <f>MONTH(A666)</f>
        <v>4</v>
      </c>
      <c r="D666" s="3" t="s">
        <v>9</v>
      </c>
      <c r="E666" s="3" t="s">
        <v>26</v>
      </c>
      <c r="F666" s="3" t="s">
        <v>31</v>
      </c>
      <c r="G666" s="3" t="s">
        <v>39</v>
      </c>
      <c r="H666" s="3" t="s">
        <v>54</v>
      </c>
      <c r="I666" s="3">
        <v>768.37</v>
      </c>
      <c r="J666" s="3">
        <v>5</v>
      </c>
      <c r="K666" s="3">
        <v>-68.472899999999996</v>
      </c>
    </row>
    <row r="667" spans="1:11" ht="15.6" x14ac:dyDescent="0.3">
      <c r="A667" s="7">
        <v>42478</v>
      </c>
      <c r="B667" s="8">
        <f>YEAR(A667)</f>
        <v>2016</v>
      </c>
      <c r="C667" s="8">
        <f>MONTH(A667)</f>
        <v>4</v>
      </c>
      <c r="D667" s="3" t="s">
        <v>18</v>
      </c>
      <c r="E667" s="3" t="s">
        <v>25</v>
      </c>
      <c r="F667" s="3" t="s">
        <v>29</v>
      </c>
      <c r="G667" s="3" t="s">
        <v>32</v>
      </c>
      <c r="H667" s="3" t="s">
        <v>44</v>
      </c>
      <c r="I667" s="3">
        <v>467.75</v>
      </c>
      <c r="J667" s="3">
        <v>7</v>
      </c>
      <c r="K667" s="3">
        <v>-68.175299999999993</v>
      </c>
    </row>
    <row r="668" spans="1:11" ht="15.6" x14ac:dyDescent="0.3">
      <c r="A668" s="7">
        <v>42481</v>
      </c>
      <c r="B668" s="8">
        <f>YEAR(A668)</f>
        <v>2016</v>
      </c>
      <c r="C668" s="8">
        <f>MONTH(A668)</f>
        <v>4</v>
      </c>
      <c r="D668" s="3" t="s">
        <v>17</v>
      </c>
      <c r="E668" s="3" t="s">
        <v>25</v>
      </c>
      <c r="F668" s="3" t="s">
        <v>29</v>
      </c>
      <c r="G668" s="3" t="s">
        <v>32</v>
      </c>
      <c r="H668" s="3" t="s">
        <v>44</v>
      </c>
      <c r="I668" s="3">
        <v>440.34</v>
      </c>
      <c r="J668" s="3">
        <v>4</v>
      </c>
      <c r="K668" s="3">
        <v>144.07550000000001</v>
      </c>
    </row>
    <row r="669" spans="1:11" ht="15.6" x14ac:dyDescent="0.3">
      <c r="A669" s="7">
        <v>42483</v>
      </c>
      <c r="B669" s="8">
        <f>YEAR(A669)</f>
        <v>2016</v>
      </c>
      <c r="C669" s="8">
        <f>MONTH(A669)</f>
        <v>4</v>
      </c>
      <c r="D669" s="3" t="s">
        <v>15</v>
      </c>
      <c r="E669" s="3" t="s">
        <v>22</v>
      </c>
      <c r="F669" s="3" t="s">
        <v>30</v>
      </c>
      <c r="G669" s="3" t="s">
        <v>35</v>
      </c>
      <c r="H669" s="3" t="s">
        <v>59</v>
      </c>
      <c r="I669" s="3">
        <v>681.28</v>
      </c>
      <c r="J669" s="3">
        <v>3</v>
      </c>
      <c r="K669" s="3">
        <v>-185.65719999999999</v>
      </c>
    </row>
    <row r="670" spans="1:11" ht="15.6" x14ac:dyDescent="0.3">
      <c r="A670" s="7">
        <v>42483</v>
      </c>
      <c r="B670" s="8">
        <f>YEAR(A670)</f>
        <v>2016</v>
      </c>
      <c r="C670" s="8">
        <f>MONTH(A670)</f>
        <v>4</v>
      </c>
      <c r="D670" s="3" t="s">
        <v>12</v>
      </c>
      <c r="E670" s="3" t="s">
        <v>28</v>
      </c>
      <c r="F670" s="3" t="s">
        <v>31</v>
      </c>
      <c r="G670" s="3" t="s">
        <v>43</v>
      </c>
      <c r="H670" s="3" t="s">
        <v>62</v>
      </c>
      <c r="I670" s="3">
        <v>741.21</v>
      </c>
      <c r="J670" s="3">
        <v>8</v>
      </c>
      <c r="K670" s="3">
        <v>181.57560000000001</v>
      </c>
    </row>
    <row r="671" spans="1:11" ht="15.6" x14ac:dyDescent="0.3">
      <c r="A671" s="7">
        <v>42484</v>
      </c>
      <c r="B671" s="8">
        <f>YEAR(A671)</f>
        <v>2016</v>
      </c>
      <c r="C671" s="8">
        <f>MONTH(A671)</f>
        <v>4</v>
      </c>
      <c r="D671" s="3" t="s">
        <v>9</v>
      </c>
      <c r="E671" s="3" t="s">
        <v>27</v>
      </c>
      <c r="F671" s="3" t="s">
        <v>30</v>
      </c>
      <c r="G671" s="3" t="s">
        <v>42</v>
      </c>
      <c r="H671" s="3" t="s">
        <v>69</v>
      </c>
      <c r="I671" s="3">
        <v>1044.51</v>
      </c>
      <c r="J671" s="3">
        <v>7</v>
      </c>
      <c r="K671" s="3">
        <v>280.47590000000002</v>
      </c>
    </row>
    <row r="672" spans="1:11" ht="15.6" x14ac:dyDescent="0.3">
      <c r="A672" s="7">
        <v>42485</v>
      </c>
      <c r="B672" s="8">
        <f>YEAR(A672)</f>
        <v>2016</v>
      </c>
      <c r="C672" s="8">
        <f>MONTH(A672)</f>
        <v>4</v>
      </c>
      <c r="D672" s="3" t="s">
        <v>15</v>
      </c>
      <c r="E672" s="3" t="s">
        <v>23</v>
      </c>
      <c r="F672" s="3" t="s">
        <v>31</v>
      </c>
      <c r="G672" s="3" t="s">
        <v>43</v>
      </c>
      <c r="H672" s="3" t="s">
        <v>62</v>
      </c>
      <c r="I672" s="3">
        <v>725.02</v>
      </c>
      <c r="J672" s="3">
        <v>9</v>
      </c>
      <c r="K672" s="3">
        <v>-127.4695</v>
      </c>
    </row>
    <row r="673" spans="1:11" ht="15.6" x14ac:dyDescent="0.3">
      <c r="A673" s="7">
        <v>42485</v>
      </c>
      <c r="B673" s="8">
        <f>YEAR(A673)</f>
        <v>2016</v>
      </c>
      <c r="C673" s="8">
        <f>MONTH(A673)</f>
        <v>4</v>
      </c>
      <c r="D673" s="3" t="s">
        <v>16</v>
      </c>
      <c r="E673" s="3" t="s">
        <v>23</v>
      </c>
      <c r="F673" s="3" t="s">
        <v>29</v>
      </c>
      <c r="G673" s="3" t="s">
        <v>40</v>
      </c>
      <c r="H673" s="3" t="s">
        <v>56</v>
      </c>
      <c r="I673" s="3">
        <v>229.66</v>
      </c>
      <c r="J673" s="3">
        <v>2</v>
      </c>
      <c r="K673" s="3">
        <v>-60.445300000000003</v>
      </c>
    </row>
    <row r="674" spans="1:11" ht="15.6" x14ac:dyDescent="0.3">
      <c r="A674" s="7">
        <v>42486</v>
      </c>
      <c r="B674" s="8">
        <f>YEAR(A674)</f>
        <v>2016</v>
      </c>
      <c r="C674" s="8">
        <f>MONTH(A674)</f>
        <v>4</v>
      </c>
      <c r="D674" s="3" t="s">
        <v>17</v>
      </c>
      <c r="E674" s="3" t="s">
        <v>23</v>
      </c>
      <c r="F674" s="3" t="s">
        <v>29</v>
      </c>
      <c r="G674" s="3" t="s">
        <v>32</v>
      </c>
      <c r="H674" s="3" t="s">
        <v>44</v>
      </c>
      <c r="I674" s="3">
        <v>664.77</v>
      </c>
      <c r="J674" s="3">
        <v>9</v>
      </c>
      <c r="K674" s="3">
        <v>-25.360399999999998</v>
      </c>
    </row>
    <row r="675" spans="1:11" ht="15.6" x14ac:dyDescent="0.3">
      <c r="A675" s="7">
        <v>42486</v>
      </c>
      <c r="B675" s="8">
        <f>YEAR(A675)</f>
        <v>2016</v>
      </c>
      <c r="C675" s="8">
        <f>MONTH(A675)</f>
        <v>4</v>
      </c>
      <c r="D675" s="3" t="s">
        <v>10</v>
      </c>
      <c r="E675" s="3" t="s">
        <v>20</v>
      </c>
      <c r="F675" s="3" t="s">
        <v>30</v>
      </c>
      <c r="G675" s="3" t="s">
        <v>35</v>
      </c>
      <c r="H675" s="3" t="s">
        <v>66</v>
      </c>
      <c r="I675" s="3">
        <v>391.54</v>
      </c>
      <c r="J675" s="3">
        <v>1</v>
      </c>
      <c r="K675" s="3">
        <v>-104.0874</v>
      </c>
    </row>
    <row r="676" spans="1:11" ht="15.6" x14ac:dyDescent="0.3">
      <c r="A676" s="7">
        <v>42486</v>
      </c>
      <c r="B676" s="8">
        <f>YEAR(A676)</f>
        <v>2016</v>
      </c>
      <c r="C676" s="8">
        <f>MONTH(A676)</f>
        <v>4</v>
      </c>
      <c r="D676" s="3" t="s">
        <v>9</v>
      </c>
      <c r="E676" s="3" t="s">
        <v>23</v>
      </c>
      <c r="F676" s="3" t="s">
        <v>29</v>
      </c>
      <c r="G676" s="3" t="s">
        <v>32</v>
      </c>
      <c r="H676" s="3" t="s">
        <v>52</v>
      </c>
      <c r="I676" s="3">
        <v>290.10000000000002</v>
      </c>
      <c r="J676" s="3">
        <v>4</v>
      </c>
      <c r="K676" s="3">
        <v>3.18</v>
      </c>
    </row>
    <row r="677" spans="1:11" ht="15.6" x14ac:dyDescent="0.3">
      <c r="A677" s="7">
        <v>42488</v>
      </c>
      <c r="B677" s="8">
        <f>YEAR(A677)</f>
        <v>2016</v>
      </c>
      <c r="C677" s="8">
        <f>MONTH(A677)</f>
        <v>4</v>
      </c>
      <c r="D677" s="3" t="s">
        <v>17</v>
      </c>
      <c r="E677" s="3" t="s">
        <v>27</v>
      </c>
      <c r="F677" s="3" t="s">
        <v>31</v>
      </c>
      <c r="G677" s="3" t="s">
        <v>43</v>
      </c>
      <c r="H677" s="3" t="s">
        <v>62</v>
      </c>
      <c r="I677" s="3">
        <v>444.28</v>
      </c>
      <c r="J677" s="3">
        <v>7</v>
      </c>
      <c r="K677" s="3">
        <v>114.3099</v>
      </c>
    </row>
    <row r="678" spans="1:11" ht="15.6" x14ac:dyDescent="0.3">
      <c r="A678" s="7">
        <v>42491</v>
      </c>
      <c r="B678" s="8">
        <f>YEAR(A678)</f>
        <v>2016</v>
      </c>
      <c r="C678" s="8">
        <f>MONTH(A678)</f>
        <v>5</v>
      </c>
      <c r="D678" s="3" t="s">
        <v>9</v>
      </c>
      <c r="E678" s="3" t="s">
        <v>22</v>
      </c>
      <c r="F678" s="3" t="s">
        <v>31</v>
      </c>
      <c r="G678" s="3" t="s">
        <v>34</v>
      </c>
      <c r="H678" s="3" t="s">
        <v>47</v>
      </c>
      <c r="I678" s="3">
        <v>79.41</v>
      </c>
      <c r="J678" s="3">
        <v>7</v>
      </c>
      <c r="K678" s="3">
        <v>-8.5677000000000003</v>
      </c>
    </row>
    <row r="679" spans="1:11" ht="15.6" x14ac:dyDescent="0.3">
      <c r="A679" s="7">
        <v>42491</v>
      </c>
      <c r="B679" s="8">
        <f>YEAR(A679)</f>
        <v>2016</v>
      </c>
      <c r="C679" s="8">
        <f>MONTH(A679)</f>
        <v>5</v>
      </c>
      <c r="D679" s="3" t="s">
        <v>14</v>
      </c>
      <c r="E679" s="3" t="s">
        <v>22</v>
      </c>
      <c r="F679" s="3" t="s">
        <v>31</v>
      </c>
      <c r="G679" s="3" t="s">
        <v>36</v>
      </c>
      <c r="H679" s="3" t="s">
        <v>50</v>
      </c>
      <c r="I679" s="3">
        <v>876.89</v>
      </c>
      <c r="J679" s="3">
        <v>6</v>
      </c>
      <c r="K679" s="3">
        <v>-70.087199999999996</v>
      </c>
    </row>
    <row r="680" spans="1:11" ht="15.6" x14ac:dyDescent="0.3">
      <c r="A680" s="7">
        <v>42491</v>
      </c>
      <c r="B680" s="8">
        <f>YEAR(A680)</f>
        <v>2016</v>
      </c>
      <c r="C680" s="8">
        <f>MONTH(A680)</f>
        <v>5</v>
      </c>
      <c r="D680" s="3" t="s">
        <v>18</v>
      </c>
      <c r="E680" s="3" t="s">
        <v>22</v>
      </c>
      <c r="F680" s="3" t="s">
        <v>30</v>
      </c>
      <c r="G680" s="3" t="s">
        <v>42</v>
      </c>
      <c r="H680" s="3" t="s">
        <v>69</v>
      </c>
      <c r="I680" s="3">
        <v>1032.8800000000001</v>
      </c>
      <c r="J680" s="3">
        <v>10</v>
      </c>
      <c r="K680" s="3">
        <v>307.52269999999999</v>
      </c>
    </row>
    <row r="681" spans="1:11" ht="15.6" x14ac:dyDescent="0.3">
      <c r="A681" s="7">
        <v>42492</v>
      </c>
      <c r="B681" s="8">
        <f>YEAR(A681)</f>
        <v>2016</v>
      </c>
      <c r="C681" s="8">
        <f>MONTH(A681)</f>
        <v>5</v>
      </c>
      <c r="D681" s="3" t="s">
        <v>17</v>
      </c>
      <c r="E681" s="3" t="s">
        <v>24</v>
      </c>
      <c r="F681" s="3" t="s">
        <v>29</v>
      </c>
      <c r="G681" s="3" t="s">
        <v>41</v>
      </c>
      <c r="H681" s="3" t="s">
        <v>57</v>
      </c>
      <c r="I681" s="3">
        <v>1104.8900000000001</v>
      </c>
      <c r="J681" s="3">
        <v>4</v>
      </c>
      <c r="K681" s="3">
        <v>194.67060000000001</v>
      </c>
    </row>
    <row r="682" spans="1:11" ht="15.6" x14ac:dyDescent="0.3">
      <c r="A682" s="7">
        <v>42493</v>
      </c>
      <c r="B682" s="8">
        <f>YEAR(A682)</f>
        <v>2016</v>
      </c>
      <c r="C682" s="8">
        <f>MONTH(A682)</f>
        <v>5</v>
      </c>
      <c r="D682" s="3" t="s">
        <v>16</v>
      </c>
      <c r="E682" s="3" t="s">
        <v>27</v>
      </c>
      <c r="F682" s="3" t="s">
        <v>30</v>
      </c>
      <c r="G682" s="3" t="s">
        <v>42</v>
      </c>
      <c r="H682" s="3" t="s">
        <v>69</v>
      </c>
      <c r="I682" s="3">
        <v>1192.51</v>
      </c>
      <c r="J682" s="3">
        <v>3</v>
      </c>
      <c r="K682" s="3">
        <v>124.102</v>
      </c>
    </row>
    <row r="683" spans="1:11" ht="15.6" x14ac:dyDescent="0.3">
      <c r="A683" s="7">
        <v>42494</v>
      </c>
      <c r="B683" s="8">
        <f>YEAR(A683)</f>
        <v>2016</v>
      </c>
      <c r="C683" s="8">
        <f>MONTH(A683)</f>
        <v>5</v>
      </c>
      <c r="D683" s="3" t="s">
        <v>9</v>
      </c>
      <c r="E683" s="3" t="s">
        <v>22</v>
      </c>
      <c r="F683" s="3" t="s">
        <v>29</v>
      </c>
      <c r="G683" s="3" t="s">
        <v>40</v>
      </c>
      <c r="H683" s="3" t="s">
        <v>61</v>
      </c>
      <c r="I683" s="3">
        <v>292.23</v>
      </c>
      <c r="J683" s="3">
        <v>3</v>
      </c>
      <c r="K683" s="3">
        <v>-23.422599999999999</v>
      </c>
    </row>
    <row r="684" spans="1:11" ht="15.6" x14ac:dyDescent="0.3">
      <c r="A684" s="7">
        <v>42497</v>
      </c>
      <c r="B684" s="8">
        <f>YEAR(A684)</f>
        <v>2016</v>
      </c>
      <c r="C684" s="8">
        <f>MONTH(A684)</f>
        <v>5</v>
      </c>
      <c r="D684" s="3" t="s">
        <v>16</v>
      </c>
      <c r="E684" s="3" t="s">
        <v>26</v>
      </c>
      <c r="F684" s="3" t="s">
        <v>29</v>
      </c>
      <c r="G684" s="3" t="s">
        <v>40</v>
      </c>
      <c r="H684" s="3" t="s">
        <v>61</v>
      </c>
      <c r="I684" s="3">
        <v>997.63</v>
      </c>
      <c r="J684" s="3">
        <v>2</v>
      </c>
      <c r="K684" s="3">
        <v>-16.2728</v>
      </c>
    </row>
    <row r="685" spans="1:11" ht="15.6" x14ac:dyDescent="0.3">
      <c r="A685" s="7">
        <v>42497</v>
      </c>
      <c r="B685" s="8">
        <f>YEAR(A685)</f>
        <v>2016</v>
      </c>
      <c r="C685" s="8">
        <f>MONTH(A685)</f>
        <v>5</v>
      </c>
      <c r="D685" s="3" t="s">
        <v>17</v>
      </c>
      <c r="E685" s="3" t="s">
        <v>26</v>
      </c>
      <c r="F685" s="3" t="s">
        <v>31</v>
      </c>
      <c r="G685" s="3" t="s">
        <v>38</v>
      </c>
      <c r="H685" s="3" t="s">
        <v>53</v>
      </c>
      <c r="I685" s="3">
        <v>1175.5</v>
      </c>
      <c r="J685" s="3">
        <v>4</v>
      </c>
      <c r="K685" s="3">
        <v>-228.99100000000001</v>
      </c>
    </row>
    <row r="686" spans="1:11" ht="15.6" x14ac:dyDescent="0.3">
      <c r="A686" s="7">
        <v>42499</v>
      </c>
      <c r="B686" s="8">
        <f>YEAR(A686)</f>
        <v>2016</v>
      </c>
      <c r="C686" s="8">
        <f>MONTH(A686)</f>
        <v>5</v>
      </c>
      <c r="D686" s="3" t="s">
        <v>9</v>
      </c>
      <c r="E686" s="3" t="s">
        <v>19</v>
      </c>
      <c r="F686" s="3" t="s">
        <v>30</v>
      </c>
      <c r="G686" s="3" t="s">
        <v>33</v>
      </c>
      <c r="H686" s="3" t="s">
        <v>55</v>
      </c>
      <c r="I686" s="3">
        <v>1163.08</v>
      </c>
      <c r="J686" s="3">
        <v>7</v>
      </c>
      <c r="K686" s="3">
        <v>-35.111600000000003</v>
      </c>
    </row>
    <row r="687" spans="1:11" ht="15.6" x14ac:dyDescent="0.3">
      <c r="A687" s="7">
        <v>42504</v>
      </c>
      <c r="B687" s="8">
        <f>YEAR(A687)</f>
        <v>2016</v>
      </c>
      <c r="C687" s="8">
        <f>MONTH(A687)</f>
        <v>5</v>
      </c>
      <c r="D687" s="3" t="s">
        <v>14</v>
      </c>
      <c r="E687" s="3" t="s">
        <v>23</v>
      </c>
      <c r="F687" s="3" t="s">
        <v>31</v>
      </c>
      <c r="G687" s="3" t="s">
        <v>36</v>
      </c>
      <c r="H687" s="3" t="s">
        <v>50</v>
      </c>
      <c r="I687" s="3">
        <v>778.07</v>
      </c>
      <c r="J687" s="3">
        <v>1</v>
      </c>
      <c r="K687" s="3">
        <v>-193.35589999999999</v>
      </c>
    </row>
    <row r="688" spans="1:11" ht="15.6" x14ac:dyDescent="0.3">
      <c r="A688" s="7">
        <v>42504</v>
      </c>
      <c r="B688" s="8">
        <f>YEAR(A688)</f>
        <v>2016</v>
      </c>
      <c r="C688" s="8">
        <f>MONTH(A688)</f>
        <v>5</v>
      </c>
      <c r="D688" s="3" t="s">
        <v>18</v>
      </c>
      <c r="E688" s="3" t="s">
        <v>24</v>
      </c>
      <c r="F688" s="3" t="s">
        <v>29</v>
      </c>
      <c r="G688" s="3" t="s">
        <v>41</v>
      </c>
      <c r="H688" s="3" t="s">
        <v>57</v>
      </c>
      <c r="I688" s="3">
        <v>693.8</v>
      </c>
      <c r="J688" s="3">
        <v>9</v>
      </c>
      <c r="K688" s="3">
        <v>-244.47229999999999</v>
      </c>
    </row>
    <row r="689" spans="1:11" ht="15.6" x14ac:dyDescent="0.3">
      <c r="A689" s="7">
        <v>42505</v>
      </c>
      <c r="B689" s="8">
        <f>YEAR(A689)</f>
        <v>2016</v>
      </c>
      <c r="C689" s="8">
        <f>MONTH(A689)</f>
        <v>5</v>
      </c>
      <c r="D689" s="3" t="s">
        <v>17</v>
      </c>
      <c r="E689" s="3" t="s">
        <v>22</v>
      </c>
      <c r="F689" s="3" t="s">
        <v>29</v>
      </c>
      <c r="G689" s="3" t="s">
        <v>40</v>
      </c>
      <c r="H689" s="3" t="s">
        <v>56</v>
      </c>
      <c r="I689" s="3">
        <v>970.92</v>
      </c>
      <c r="J689" s="3">
        <v>9</v>
      </c>
      <c r="K689" s="3">
        <v>-310.83730000000003</v>
      </c>
    </row>
    <row r="690" spans="1:11" ht="15.6" x14ac:dyDescent="0.3">
      <c r="A690" s="7">
        <v>42505</v>
      </c>
      <c r="B690" s="8">
        <f>YEAR(A690)</f>
        <v>2016</v>
      </c>
      <c r="C690" s="8">
        <f>MONTH(A690)</f>
        <v>5</v>
      </c>
      <c r="D690" s="3" t="s">
        <v>10</v>
      </c>
      <c r="E690" s="3" t="s">
        <v>26</v>
      </c>
      <c r="F690" s="3" t="s">
        <v>31</v>
      </c>
      <c r="G690" s="3" t="s">
        <v>43</v>
      </c>
      <c r="H690" s="3" t="s">
        <v>68</v>
      </c>
      <c r="I690" s="3">
        <v>1184.4100000000001</v>
      </c>
      <c r="J690" s="3">
        <v>2</v>
      </c>
      <c r="K690" s="3">
        <v>176.4648</v>
      </c>
    </row>
    <row r="691" spans="1:11" ht="15.6" x14ac:dyDescent="0.3">
      <c r="A691" s="7">
        <v>42506</v>
      </c>
      <c r="B691" s="8">
        <f>YEAR(A691)</f>
        <v>2016</v>
      </c>
      <c r="C691" s="8">
        <f>MONTH(A691)</f>
        <v>5</v>
      </c>
      <c r="D691" s="3" t="s">
        <v>13</v>
      </c>
      <c r="E691" s="3" t="s">
        <v>24</v>
      </c>
      <c r="F691" s="3" t="s">
        <v>29</v>
      </c>
      <c r="G691" s="3" t="s">
        <v>32</v>
      </c>
      <c r="H691" s="3" t="s">
        <v>48</v>
      </c>
      <c r="I691" s="3">
        <v>884.64</v>
      </c>
      <c r="J691" s="3">
        <v>5</v>
      </c>
      <c r="K691" s="3">
        <v>-305.38510000000002</v>
      </c>
    </row>
    <row r="692" spans="1:11" ht="15.6" x14ac:dyDescent="0.3">
      <c r="A692" s="7">
        <v>42507</v>
      </c>
      <c r="B692" s="8">
        <f>YEAR(A692)</f>
        <v>2016</v>
      </c>
      <c r="C692" s="8">
        <f>MONTH(A692)</f>
        <v>5</v>
      </c>
      <c r="D692" s="3" t="s">
        <v>11</v>
      </c>
      <c r="E692" s="3" t="s">
        <v>24</v>
      </c>
      <c r="F692" s="3" t="s">
        <v>29</v>
      </c>
      <c r="G692" s="3" t="s">
        <v>41</v>
      </c>
      <c r="H692" s="3" t="s">
        <v>57</v>
      </c>
      <c r="I692" s="3">
        <v>416.71</v>
      </c>
      <c r="J692" s="3">
        <v>2</v>
      </c>
      <c r="K692" s="3">
        <v>2.4472</v>
      </c>
    </row>
    <row r="693" spans="1:11" ht="15.6" x14ac:dyDescent="0.3">
      <c r="A693" s="7">
        <v>42507</v>
      </c>
      <c r="B693" s="8">
        <f>YEAR(A693)</f>
        <v>2016</v>
      </c>
      <c r="C693" s="8">
        <f>MONTH(A693)</f>
        <v>5</v>
      </c>
      <c r="D693" s="3" t="s">
        <v>13</v>
      </c>
      <c r="E693" s="3" t="s">
        <v>21</v>
      </c>
      <c r="F693" s="3" t="s">
        <v>31</v>
      </c>
      <c r="G693" s="3" t="s">
        <v>38</v>
      </c>
      <c r="H693" s="3" t="s">
        <v>53</v>
      </c>
      <c r="I693" s="3">
        <v>843.66</v>
      </c>
      <c r="J693" s="3">
        <v>2</v>
      </c>
      <c r="K693" s="3">
        <v>67.832800000000006</v>
      </c>
    </row>
    <row r="694" spans="1:11" ht="15.6" x14ac:dyDescent="0.3">
      <c r="A694" s="7">
        <v>42507</v>
      </c>
      <c r="B694" s="8">
        <f>YEAR(A694)</f>
        <v>2016</v>
      </c>
      <c r="C694" s="8">
        <f>MONTH(A694)</f>
        <v>5</v>
      </c>
      <c r="D694" s="3" t="s">
        <v>12</v>
      </c>
      <c r="E694" s="3" t="s">
        <v>24</v>
      </c>
      <c r="F694" s="3" t="s">
        <v>30</v>
      </c>
      <c r="G694" s="3" t="s">
        <v>35</v>
      </c>
      <c r="H694" s="3" t="s">
        <v>49</v>
      </c>
      <c r="I694" s="3">
        <v>98.65</v>
      </c>
      <c r="J694" s="3">
        <v>7</v>
      </c>
      <c r="K694" s="3">
        <v>-24.520499999999998</v>
      </c>
    </row>
    <row r="695" spans="1:11" ht="15.6" x14ac:dyDescent="0.3">
      <c r="A695" s="7">
        <v>42507</v>
      </c>
      <c r="B695" s="8">
        <f>YEAR(A695)</f>
        <v>2016</v>
      </c>
      <c r="C695" s="8">
        <f>MONTH(A695)</f>
        <v>5</v>
      </c>
      <c r="D695" s="3" t="s">
        <v>15</v>
      </c>
      <c r="E695" s="3" t="s">
        <v>20</v>
      </c>
      <c r="F695" s="3" t="s">
        <v>29</v>
      </c>
      <c r="G695" s="3" t="s">
        <v>41</v>
      </c>
      <c r="H695" s="3" t="s">
        <v>57</v>
      </c>
      <c r="I695" s="3">
        <v>1149.54</v>
      </c>
      <c r="J695" s="3">
        <v>4</v>
      </c>
      <c r="K695" s="3">
        <v>-290.07769999999999</v>
      </c>
    </row>
    <row r="696" spans="1:11" ht="15.6" x14ac:dyDescent="0.3">
      <c r="A696" s="7">
        <v>42508</v>
      </c>
      <c r="B696" s="8">
        <f>YEAR(A696)</f>
        <v>2016</v>
      </c>
      <c r="C696" s="8">
        <f>MONTH(A696)</f>
        <v>5</v>
      </c>
      <c r="D696" s="3" t="s">
        <v>18</v>
      </c>
      <c r="E696" s="3" t="s">
        <v>22</v>
      </c>
      <c r="F696" s="3" t="s">
        <v>31</v>
      </c>
      <c r="G696" s="3" t="s">
        <v>34</v>
      </c>
      <c r="H696" s="3" t="s">
        <v>46</v>
      </c>
      <c r="I696" s="3">
        <v>875.68</v>
      </c>
      <c r="J696" s="3">
        <v>7</v>
      </c>
      <c r="K696" s="3">
        <v>-258.60950000000003</v>
      </c>
    </row>
    <row r="697" spans="1:11" ht="15.6" x14ac:dyDescent="0.3">
      <c r="A697" s="7">
        <v>42511</v>
      </c>
      <c r="B697" s="8">
        <f>YEAR(A697)</f>
        <v>2016</v>
      </c>
      <c r="C697" s="8">
        <f>MONTH(A697)</f>
        <v>5</v>
      </c>
      <c r="D697" s="3" t="s">
        <v>17</v>
      </c>
      <c r="E697" s="3" t="s">
        <v>27</v>
      </c>
      <c r="F697" s="3" t="s">
        <v>31</v>
      </c>
      <c r="G697" s="3" t="s">
        <v>38</v>
      </c>
      <c r="H697" s="3" t="s">
        <v>53</v>
      </c>
      <c r="I697" s="3">
        <v>1195.97</v>
      </c>
      <c r="J697" s="3">
        <v>9</v>
      </c>
      <c r="K697" s="3">
        <v>-181.6756</v>
      </c>
    </row>
    <row r="698" spans="1:11" ht="15.6" x14ac:dyDescent="0.3">
      <c r="A698" s="7">
        <v>42511</v>
      </c>
      <c r="B698" s="8">
        <f>YEAR(A698)</f>
        <v>2016</v>
      </c>
      <c r="C698" s="8">
        <f>MONTH(A698)</f>
        <v>5</v>
      </c>
      <c r="D698" s="3" t="s">
        <v>18</v>
      </c>
      <c r="E698" s="3" t="s">
        <v>22</v>
      </c>
      <c r="F698" s="3" t="s">
        <v>31</v>
      </c>
      <c r="G698" s="3" t="s">
        <v>38</v>
      </c>
      <c r="H698" s="3" t="s">
        <v>63</v>
      </c>
      <c r="I698" s="3">
        <v>164.99</v>
      </c>
      <c r="J698" s="3">
        <v>8</v>
      </c>
      <c r="K698" s="3">
        <v>28.773299999999999</v>
      </c>
    </row>
    <row r="699" spans="1:11" ht="15.6" x14ac:dyDescent="0.3">
      <c r="A699" s="7">
        <v>42513</v>
      </c>
      <c r="B699" s="8">
        <f>YEAR(A699)</f>
        <v>2016</v>
      </c>
      <c r="C699" s="8">
        <f>MONTH(A699)</f>
        <v>5</v>
      </c>
      <c r="D699" s="3" t="s">
        <v>13</v>
      </c>
      <c r="E699" s="3" t="s">
        <v>28</v>
      </c>
      <c r="F699" s="3" t="s">
        <v>30</v>
      </c>
      <c r="G699" s="3" t="s">
        <v>33</v>
      </c>
      <c r="H699" s="3" t="s">
        <v>60</v>
      </c>
      <c r="I699" s="3">
        <v>211.5</v>
      </c>
      <c r="J699" s="3">
        <v>4</v>
      </c>
      <c r="K699" s="3">
        <v>59.479799999999997</v>
      </c>
    </row>
    <row r="700" spans="1:11" ht="15.6" x14ac:dyDescent="0.3">
      <c r="A700" s="7">
        <v>42513</v>
      </c>
      <c r="B700" s="8">
        <f>YEAR(A700)</f>
        <v>2016</v>
      </c>
      <c r="C700" s="8">
        <f>MONTH(A700)</f>
        <v>5</v>
      </c>
      <c r="D700" s="3" t="s">
        <v>11</v>
      </c>
      <c r="E700" s="3" t="s">
        <v>20</v>
      </c>
      <c r="F700" s="3" t="s">
        <v>31</v>
      </c>
      <c r="G700" s="3" t="s">
        <v>39</v>
      </c>
      <c r="H700" s="3" t="s">
        <v>54</v>
      </c>
      <c r="I700" s="3">
        <v>473.34</v>
      </c>
      <c r="J700" s="3">
        <v>10</v>
      </c>
      <c r="K700" s="3">
        <v>127.0714</v>
      </c>
    </row>
    <row r="701" spans="1:11" ht="15.6" x14ac:dyDescent="0.3">
      <c r="A701" s="7">
        <v>42515</v>
      </c>
      <c r="B701" s="8">
        <f>YEAR(A701)</f>
        <v>2016</v>
      </c>
      <c r="C701" s="8">
        <f>MONTH(A701)</f>
        <v>5</v>
      </c>
      <c r="D701" s="3" t="s">
        <v>16</v>
      </c>
      <c r="E701" s="3" t="s">
        <v>25</v>
      </c>
      <c r="F701" s="3" t="s">
        <v>29</v>
      </c>
      <c r="G701" s="3" t="s">
        <v>32</v>
      </c>
      <c r="H701" s="3" t="s">
        <v>48</v>
      </c>
      <c r="I701" s="3">
        <v>675.28</v>
      </c>
      <c r="J701" s="3">
        <v>2</v>
      </c>
      <c r="K701" s="3">
        <v>-232.00399999999999</v>
      </c>
    </row>
    <row r="702" spans="1:11" ht="15.6" x14ac:dyDescent="0.3">
      <c r="A702" s="7">
        <v>42517</v>
      </c>
      <c r="B702" s="8">
        <f>YEAR(A702)</f>
        <v>2016</v>
      </c>
      <c r="C702" s="8">
        <f>MONTH(A702)</f>
        <v>5</v>
      </c>
      <c r="D702" s="3" t="s">
        <v>16</v>
      </c>
      <c r="E702" s="3" t="s">
        <v>26</v>
      </c>
      <c r="F702" s="3" t="s">
        <v>30</v>
      </c>
      <c r="G702" s="3" t="s">
        <v>37</v>
      </c>
      <c r="H702" s="3" t="s">
        <v>51</v>
      </c>
      <c r="I702" s="3">
        <v>206.52</v>
      </c>
      <c r="J702" s="3">
        <v>6</v>
      </c>
      <c r="K702" s="3">
        <v>-44.477899999999998</v>
      </c>
    </row>
    <row r="703" spans="1:11" ht="15.6" x14ac:dyDescent="0.3">
      <c r="A703" s="7">
        <v>42519</v>
      </c>
      <c r="B703" s="8">
        <f>YEAR(A703)</f>
        <v>2016</v>
      </c>
      <c r="C703" s="8">
        <f>MONTH(A703)</f>
        <v>5</v>
      </c>
      <c r="D703" s="3" t="s">
        <v>15</v>
      </c>
      <c r="E703" s="3" t="s">
        <v>20</v>
      </c>
      <c r="F703" s="3" t="s">
        <v>29</v>
      </c>
      <c r="G703" s="3" t="s">
        <v>32</v>
      </c>
      <c r="H703" s="3" t="s">
        <v>44</v>
      </c>
      <c r="I703" s="3">
        <v>990.69</v>
      </c>
      <c r="J703" s="3">
        <v>8</v>
      </c>
      <c r="K703" s="3">
        <v>-196.7484</v>
      </c>
    </row>
    <row r="704" spans="1:11" ht="15.6" x14ac:dyDescent="0.3">
      <c r="A704" s="7">
        <v>42519</v>
      </c>
      <c r="B704" s="8">
        <f>YEAR(A704)</f>
        <v>2016</v>
      </c>
      <c r="C704" s="8">
        <f>MONTH(A704)</f>
        <v>5</v>
      </c>
      <c r="D704" s="3" t="s">
        <v>9</v>
      </c>
      <c r="E704" s="3" t="s">
        <v>25</v>
      </c>
      <c r="F704" s="3" t="s">
        <v>29</v>
      </c>
      <c r="G704" s="3" t="s">
        <v>32</v>
      </c>
      <c r="H704" s="3" t="s">
        <v>48</v>
      </c>
      <c r="I704" s="3">
        <v>487.06</v>
      </c>
      <c r="J704" s="3">
        <v>8</v>
      </c>
      <c r="K704" s="3">
        <v>-54.800400000000003</v>
      </c>
    </row>
    <row r="705" spans="1:11" ht="15.6" x14ac:dyDescent="0.3">
      <c r="A705" s="7">
        <v>42519</v>
      </c>
      <c r="B705" s="8">
        <f>YEAR(A705)</f>
        <v>2016</v>
      </c>
      <c r="C705" s="8">
        <f>MONTH(A705)</f>
        <v>5</v>
      </c>
      <c r="D705" s="3" t="s">
        <v>14</v>
      </c>
      <c r="E705" s="3" t="s">
        <v>21</v>
      </c>
      <c r="F705" s="3" t="s">
        <v>31</v>
      </c>
      <c r="G705" s="3" t="s">
        <v>34</v>
      </c>
      <c r="H705" s="3" t="s">
        <v>47</v>
      </c>
      <c r="I705" s="3">
        <v>1172.49</v>
      </c>
      <c r="J705" s="3">
        <v>4</v>
      </c>
      <c r="K705" s="3">
        <v>340.91340000000002</v>
      </c>
    </row>
    <row r="706" spans="1:11" ht="15.6" x14ac:dyDescent="0.3">
      <c r="A706" s="7">
        <v>42520</v>
      </c>
      <c r="B706" s="8">
        <f>YEAR(A706)</f>
        <v>2016</v>
      </c>
      <c r="C706" s="8">
        <f>MONTH(A706)</f>
        <v>5</v>
      </c>
      <c r="D706" s="3" t="s">
        <v>12</v>
      </c>
      <c r="E706" s="3" t="s">
        <v>21</v>
      </c>
      <c r="F706" s="3" t="s">
        <v>30</v>
      </c>
      <c r="G706" s="3" t="s">
        <v>37</v>
      </c>
      <c r="H706" s="3" t="s">
        <v>64</v>
      </c>
      <c r="I706" s="3">
        <v>157.30000000000001</v>
      </c>
      <c r="J706" s="3">
        <v>5</v>
      </c>
      <c r="K706" s="3">
        <v>-19.900200000000002</v>
      </c>
    </row>
    <row r="707" spans="1:11" ht="15.6" x14ac:dyDescent="0.3">
      <c r="A707" s="7">
        <v>42520</v>
      </c>
      <c r="B707" s="8">
        <f>YEAR(A707)</f>
        <v>2016</v>
      </c>
      <c r="C707" s="8">
        <f>MONTH(A707)</f>
        <v>5</v>
      </c>
      <c r="D707" s="3" t="s">
        <v>14</v>
      </c>
      <c r="E707" s="3" t="s">
        <v>25</v>
      </c>
      <c r="F707" s="3" t="s">
        <v>31</v>
      </c>
      <c r="G707" s="3" t="s">
        <v>38</v>
      </c>
      <c r="H707" s="3" t="s">
        <v>63</v>
      </c>
      <c r="I707" s="3">
        <v>1194.8399999999999</v>
      </c>
      <c r="J707" s="3">
        <v>3</v>
      </c>
      <c r="K707" s="3">
        <v>110.133</v>
      </c>
    </row>
    <row r="708" spans="1:11" ht="15.6" x14ac:dyDescent="0.3">
      <c r="A708" s="7">
        <v>42521</v>
      </c>
      <c r="B708" s="8">
        <f>YEAR(A708)</f>
        <v>2016</v>
      </c>
      <c r="C708" s="8">
        <f>MONTH(A708)</f>
        <v>5</v>
      </c>
      <c r="D708" s="3" t="s">
        <v>16</v>
      </c>
      <c r="E708" s="3" t="s">
        <v>27</v>
      </c>
      <c r="F708" s="3" t="s">
        <v>30</v>
      </c>
      <c r="G708" s="3" t="s">
        <v>42</v>
      </c>
      <c r="H708" s="3" t="s">
        <v>67</v>
      </c>
      <c r="I708" s="3">
        <v>214.96</v>
      </c>
      <c r="J708" s="3">
        <v>7</v>
      </c>
      <c r="K708" s="3">
        <v>-0.1211</v>
      </c>
    </row>
    <row r="709" spans="1:11" ht="15.6" x14ac:dyDescent="0.3">
      <c r="A709" s="7">
        <v>42521</v>
      </c>
      <c r="B709" s="8">
        <f>YEAR(A709)</f>
        <v>2016</v>
      </c>
      <c r="C709" s="8">
        <f>MONTH(A709)</f>
        <v>5</v>
      </c>
      <c r="D709" s="3" t="s">
        <v>10</v>
      </c>
      <c r="E709" s="3" t="s">
        <v>23</v>
      </c>
      <c r="F709" s="3" t="s">
        <v>30</v>
      </c>
      <c r="G709" s="3" t="s">
        <v>33</v>
      </c>
      <c r="H709" s="3" t="s">
        <v>45</v>
      </c>
      <c r="I709" s="3">
        <v>724.93</v>
      </c>
      <c r="J709" s="3">
        <v>3</v>
      </c>
      <c r="K709" s="3">
        <v>6.6010999999999997</v>
      </c>
    </row>
    <row r="710" spans="1:11" ht="15.6" x14ac:dyDescent="0.3">
      <c r="A710" s="7">
        <v>42522</v>
      </c>
      <c r="B710" s="8">
        <f>YEAR(A710)</f>
        <v>2016</v>
      </c>
      <c r="C710" s="8">
        <f>MONTH(A710)</f>
        <v>6</v>
      </c>
      <c r="D710" s="3" t="s">
        <v>18</v>
      </c>
      <c r="E710" s="3" t="s">
        <v>22</v>
      </c>
      <c r="F710" s="3" t="s">
        <v>30</v>
      </c>
      <c r="G710" s="3" t="s">
        <v>37</v>
      </c>
      <c r="H710" s="3" t="s">
        <v>64</v>
      </c>
      <c r="I710" s="3">
        <v>942.26</v>
      </c>
      <c r="J710" s="3">
        <v>7</v>
      </c>
      <c r="K710" s="3">
        <v>23.941299999999998</v>
      </c>
    </row>
    <row r="711" spans="1:11" ht="15.6" x14ac:dyDescent="0.3">
      <c r="A711" s="7">
        <v>42523</v>
      </c>
      <c r="B711" s="8">
        <f>YEAR(A711)</f>
        <v>2016</v>
      </c>
      <c r="C711" s="8">
        <f>MONTH(A711)</f>
        <v>6</v>
      </c>
      <c r="D711" s="3" t="s">
        <v>11</v>
      </c>
      <c r="E711" s="3" t="s">
        <v>22</v>
      </c>
      <c r="F711" s="3" t="s">
        <v>30</v>
      </c>
      <c r="G711" s="3" t="s">
        <v>35</v>
      </c>
      <c r="H711" s="3" t="s">
        <v>66</v>
      </c>
      <c r="I711" s="3">
        <v>88.62</v>
      </c>
      <c r="J711" s="3">
        <v>6</v>
      </c>
      <c r="K711" s="3">
        <v>5.97</v>
      </c>
    </row>
    <row r="712" spans="1:11" ht="15.6" x14ac:dyDescent="0.3">
      <c r="A712" s="7">
        <v>42524</v>
      </c>
      <c r="B712" s="8">
        <f>YEAR(A712)</f>
        <v>2016</v>
      </c>
      <c r="C712" s="8">
        <f>MONTH(A712)</f>
        <v>6</v>
      </c>
      <c r="D712" s="3" t="s">
        <v>17</v>
      </c>
      <c r="E712" s="3" t="s">
        <v>26</v>
      </c>
      <c r="F712" s="3" t="s">
        <v>29</v>
      </c>
      <c r="G712" s="3" t="s">
        <v>41</v>
      </c>
      <c r="H712" s="3" t="s">
        <v>57</v>
      </c>
      <c r="I712" s="3">
        <v>351.29</v>
      </c>
      <c r="J712" s="3">
        <v>7</v>
      </c>
      <c r="K712" s="3">
        <v>-101.51949999999999</v>
      </c>
    </row>
    <row r="713" spans="1:11" ht="15.6" x14ac:dyDescent="0.3">
      <c r="A713" s="7">
        <v>42524</v>
      </c>
      <c r="B713" s="8">
        <f>YEAR(A713)</f>
        <v>2016</v>
      </c>
      <c r="C713" s="8">
        <f>MONTH(A713)</f>
        <v>6</v>
      </c>
      <c r="D713" s="3" t="s">
        <v>13</v>
      </c>
      <c r="E713" s="3" t="s">
        <v>19</v>
      </c>
      <c r="F713" s="3" t="s">
        <v>31</v>
      </c>
      <c r="G713" s="3" t="s">
        <v>39</v>
      </c>
      <c r="H713" s="3" t="s">
        <v>54</v>
      </c>
      <c r="I713" s="3">
        <v>1175.49</v>
      </c>
      <c r="J713" s="3">
        <v>8</v>
      </c>
      <c r="K713" s="3">
        <v>179.6251</v>
      </c>
    </row>
    <row r="714" spans="1:11" ht="15.6" x14ac:dyDescent="0.3">
      <c r="A714" s="7">
        <v>42524</v>
      </c>
      <c r="B714" s="8">
        <f>YEAR(A714)</f>
        <v>2016</v>
      </c>
      <c r="C714" s="8">
        <f>MONTH(A714)</f>
        <v>6</v>
      </c>
      <c r="D714" s="3" t="s">
        <v>9</v>
      </c>
      <c r="E714" s="3" t="s">
        <v>25</v>
      </c>
      <c r="F714" s="3" t="s">
        <v>29</v>
      </c>
      <c r="G714" s="3" t="s">
        <v>40</v>
      </c>
      <c r="H714" s="3" t="s">
        <v>56</v>
      </c>
      <c r="I714" s="3">
        <v>256.97000000000003</v>
      </c>
      <c r="J714" s="3">
        <v>9</v>
      </c>
      <c r="K714" s="3">
        <v>81.732600000000005</v>
      </c>
    </row>
    <row r="715" spans="1:11" ht="15.6" x14ac:dyDescent="0.3">
      <c r="A715" s="7">
        <v>42526</v>
      </c>
      <c r="B715" s="8">
        <f>YEAR(A715)</f>
        <v>2016</v>
      </c>
      <c r="C715" s="8">
        <f>MONTH(A715)</f>
        <v>6</v>
      </c>
      <c r="D715" s="3" t="s">
        <v>10</v>
      </c>
      <c r="E715" s="3" t="s">
        <v>27</v>
      </c>
      <c r="F715" s="3" t="s">
        <v>30</v>
      </c>
      <c r="G715" s="3" t="s">
        <v>35</v>
      </c>
      <c r="H715" s="3" t="s">
        <v>49</v>
      </c>
      <c r="I715" s="3">
        <v>605.91999999999996</v>
      </c>
      <c r="J715" s="3">
        <v>1</v>
      </c>
      <c r="K715" s="3">
        <v>135.44919999999999</v>
      </c>
    </row>
    <row r="716" spans="1:11" ht="15.6" x14ac:dyDescent="0.3">
      <c r="A716" s="7">
        <v>42526</v>
      </c>
      <c r="B716" s="8">
        <f>YEAR(A716)</f>
        <v>2016</v>
      </c>
      <c r="C716" s="8">
        <f>MONTH(A716)</f>
        <v>6</v>
      </c>
      <c r="D716" s="3" t="s">
        <v>17</v>
      </c>
      <c r="E716" s="3" t="s">
        <v>26</v>
      </c>
      <c r="F716" s="3" t="s">
        <v>30</v>
      </c>
      <c r="G716" s="3" t="s">
        <v>37</v>
      </c>
      <c r="H716" s="3" t="s">
        <v>64</v>
      </c>
      <c r="I716" s="3">
        <v>795.75</v>
      </c>
      <c r="J716" s="3">
        <v>4</v>
      </c>
      <c r="K716" s="3">
        <v>-30.6783</v>
      </c>
    </row>
    <row r="717" spans="1:11" ht="15.6" x14ac:dyDescent="0.3">
      <c r="A717" s="7">
        <v>42527</v>
      </c>
      <c r="B717" s="8">
        <f>YEAR(A717)</f>
        <v>2016</v>
      </c>
      <c r="C717" s="8">
        <f>MONTH(A717)</f>
        <v>6</v>
      </c>
      <c r="D717" s="3" t="s">
        <v>15</v>
      </c>
      <c r="E717" s="3" t="s">
        <v>19</v>
      </c>
      <c r="F717" s="3" t="s">
        <v>31</v>
      </c>
      <c r="G717" s="3" t="s">
        <v>36</v>
      </c>
      <c r="H717" s="3" t="s">
        <v>70</v>
      </c>
      <c r="I717" s="3">
        <v>1153.1400000000001</v>
      </c>
      <c r="J717" s="3">
        <v>8</v>
      </c>
      <c r="K717" s="3">
        <v>150.46340000000001</v>
      </c>
    </row>
    <row r="718" spans="1:11" ht="15.6" x14ac:dyDescent="0.3">
      <c r="A718" s="7">
        <v>42529</v>
      </c>
      <c r="B718" s="8">
        <f>YEAR(A718)</f>
        <v>2016</v>
      </c>
      <c r="C718" s="8">
        <f>MONTH(A718)</f>
        <v>6</v>
      </c>
      <c r="D718" s="3" t="s">
        <v>11</v>
      </c>
      <c r="E718" s="3" t="s">
        <v>24</v>
      </c>
      <c r="F718" s="3" t="s">
        <v>30</v>
      </c>
      <c r="G718" s="3" t="s">
        <v>35</v>
      </c>
      <c r="H718" s="3" t="s">
        <v>59</v>
      </c>
      <c r="I718" s="3">
        <v>392.79</v>
      </c>
      <c r="J718" s="3">
        <v>3</v>
      </c>
      <c r="K718" s="3">
        <v>76.905500000000004</v>
      </c>
    </row>
    <row r="719" spans="1:11" ht="15.6" x14ac:dyDescent="0.3">
      <c r="A719" s="7">
        <v>42530</v>
      </c>
      <c r="B719" s="8">
        <f>YEAR(A719)</f>
        <v>2016</v>
      </c>
      <c r="C719" s="8">
        <f>MONTH(A719)</f>
        <v>6</v>
      </c>
      <c r="D719" s="3" t="s">
        <v>18</v>
      </c>
      <c r="E719" s="3" t="s">
        <v>27</v>
      </c>
      <c r="F719" s="3" t="s">
        <v>31</v>
      </c>
      <c r="G719" s="3" t="s">
        <v>39</v>
      </c>
      <c r="H719" s="3" t="s">
        <v>71</v>
      </c>
      <c r="I719" s="3">
        <v>333.09</v>
      </c>
      <c r="J719" s="3">
        <v>1</v>
      </c>
      <c r="K719" s="3">
        <v>-114.4894</v>
      </c>
    </row>
    <row r="720" spans="1:11" ht="15.6" x14ac:dyDescent="0.3">
      <c r="A720" s="7">
        <v>42532</v>
      </c>
      <c r="B720" s="8">
        <f>YEAR(A720)</f>
        <v>2016</v>
      </c>
      <c r="C720" s="8">
        <f>MONTH(A720)</f>
        <v>6</v>
      </c>
      <c r="D720" s="3" t="s">
        <v>9</v>
      </c>
      <c r="E720" s="3" t="s">
        <v>28</v>
      </c>
      <c r="F720" s="3" t="s">
        <v>29</v>
      </c>
      <c r="G720" s="3" t="s">
        <v>32</v>
      </c>
      <c r="H720" s="3" t="s">
        <v>44</v>
      </c>
      <c r="I720" s="3">
        <v>178.2</v>
      </c>
      <c r="J720" s="3">
        <v>10</v>
      </c>
      <c r="K720" s="3">
        <v>-10.470499999999999</v>
      </c>
    </row>
    <row r="721" spans="1:11" ht="15.6" x14ac:dyDescent="0.3">
      <c r="A721" s="7">
        <v>42532</v>
      </c>
      <c r="B721" s="8">
        <f>YEAR(A721)</f>
        <v>2016</v>
      </c>
      <c r="C721" s="8">
        <f>MONTH(A721)</f>
        <v>6</v>
      </c>
      <c r="D721" s="3" t="s">
        <v>15</v>
      </c>
      <c r="E721" s="3" t="s">
        <v>25</v>
      </c>
      <c r="F721" s="3" t="s">
        <v>29</v>
      </c>
      <c r="G721" s="3" t="s">
        <v>32</v>
      </c>
      <c r="H721" s="3" t="s">
        <v>52</v>
      </c>
      <c r="I721" s="3">
        <v>246.1</v>
      </c>
      <c r="J721" s="3">
        <v>2</v>
      </c>
      <c r="K721" s="3">
        <v>56.673200000000001</v>
      </c>
    </row>
    <row r="722" spans="1:11" ht="15.6" x14ac:dyDescent="0.3">
      <c r="A722" s="7">
        <v>42533</v>
      </c>
      <c r="B722" s="8">
        <f>YEAR(A722)</f>
        <v>2016</v>
      </c>
      <c r="C722" s="8">
        <f>MONTH(A722)</f>
        <v>6</v>
      </c>
      <c r="D722" s="3" t="s">
        <v>11</v>
      </c>
      <c r="E722" s="3" t="s">
        <v>28</v>
      </c>
      <c r="F722" s="3" t="s">
        <v>31</v>
      </c>
      <c r="G722" s="3" t="s">
        <v>43</v>
      </c>
      <c r="H722" s="3" t="s">
        <v>68</v>
      </c>
      <c r="I722" s="3">
        <v>143.65</v>
      </c>
      <c r="J722" s="3">
        <v>8</v>
      </c>
      <c r="K722" s="3">
        <v>-53.065199999999997</v>
      </c>
    </row>
    <row r="723" spans="1:11" ht="15.6" x14ac:dyDescent="0.3">
      <c r="A723" s="7">
        <v>42539</v>
      </c>
      <c r="B723" s="8">
        <f>YEAR(A723)</f>
        <v>2016</v>
      </c>
      <c r="C723" s="8">
        <f>MONTH(A723)</f>
        <v>6</v>
      </c>
      <c r="D723" s="3" t="s">
        <v>12</v>
      </c>
      <c r="E723" s="3" t="s">
        <v>23</v>
      </c>
      <c r="F723" s="3" t="s">
        <v>29</v>
      </c>
      <c r="G723" s="3" t="s">
        <v>40</v>
      </c>
      <c r="H723" s="3" t="s">
        <v>56</v>
      </c>
      <c r="I723" s="3">
        <v>153.6</v>
      </c>
      <c r="J723" s="3">
        <v>5</v>
      </c>
      <c r="K723" s="3">
        <v>19.1693</v>
      </c>
    </row>
    <row r="724" spans="1:11" ht="15.6" x14ac:dyDescent="0.3">
      <c r="A724" s="7">
        <v>42540</v>
      </c>
      <c r="B724" s="8">
        <f>YEAR(A724)</f>
        <v>2016</v>
      </c>
      <c r="C724" s="8">
        <f>MONTH(A724)</f>
        <v>6</v>
      </c>
      <c r="D724" s="3" t="s">
        <v>10</v>
      </c>
      <c r="E724" s="3" t="s">
        <v>28</v>
      </c>
      <c r="F724" s="3" t="s">
        <v>29</v>
      </c>
      <c r="G724" s="3" t="s">
        <v>41</v>
      </c>
      <c r="H724" s="3" t="s">
        <v>65</v>
      </c>
      <c r="I724" s="3">
        <v>97.59</v>
      </c>
      <c r="J724" s="3">
        <v>5</v>
      </c>
      <c r="K724" s="3">
        <v>-21.872800000000002</v>
      </c>
    </row>
    <row r="725" spans="1:11" ht="15.6" x14ac:dyDescent="0.3">
      <c r="A725" s="7">
        <v>42540</v>
      </c>
      <c r="B725" s="8">
        <f>YEAR(A725)</f>
        <v>2016</v>
      </c>
      <c r="C725" s="8">
        <f>MONTH(A725)</f>
        <v>6</v>
      </c>
      <c r="D725" s="3" t="s">
        <v>17</v>
      </c>
      <c r="E725" s="3" t="s">
        <v>26</v>
      </c>
      <c r="F725" s="3" t="s">
        <v>31</v>
      </c>
      <c r="G725" s="3" t="s">
        <v>34</v>
      </c>
      <c r="H725" s="3" t="s">
        <v>46</v>
      </c>
      <c r="I725" s="3">
        <v>86.6</v>
      </c>
      <c r="J725" s="3">
        <v>8</v>
      </c>
      <c r="K725" s="3">
        <v>6.3685</v>
      </c>
    </row>
    <row r="726" spans="1:11" ht="15.6" x14ac:dyDescent="0.3">
      <c r="A726" s="7">
        <v>42540</v>
      </c>
      <c r="B726" s="8">
        <f>YEAR(A726)</f>
        <v>2016</v>
      </c>
      <c r="C726" s="8">
        <f>MONTH(A726)</f>
        <v>6</v>
      </c>
      <c r="D726" s="3" t="s">
        <v>18</v>
      </c>
      <c r="E726" s="3" t="s">
        <v>27</v>
      </c>
      <c r="F726" s="3" t="s">
        <v>29</v>
      </c>
      <c r="G726" s="3" t="s">
        <v>40</v>
      </c>
      <c r="H726" s="3" t="s">
        <v>61</v>
      </c>
      <c r="I726" s="3">
        <v>809.86</v>
      </c>
      <c r="J726" s="3">
        <v>2</v>
      </c>
      <c r="K726" s="3">
        <v>-214.0975</v>
      </c>
    </row>
    <row r="727" spans="1:11" ht="15.6" x14ac:dyDescent="0.3">
      <c r="A727" s="7">
        <v>42541</v>
      </c>
      <c r="B727" s="8">
        <f>YEAR(A727)</f>
        <v>2016</v>
      </c>
      <c r="C727" s="8">
        <f>MONTH(A727)</f>
        <v>6</v>
      </c>
      <c r="D727" s="3" t="s">
        <v>13</v>
      </c>
      <c r="E727" s="3" t="s">
        <v>27</v>
      </c>
      <c r="F727" s="3" t="s">
        <v>29</v>
      </c>
      <c r="G727" s="3" t="s">
        <v>32</v>
      </c>
      <c r="H727" s="3" t="s">
        <v>52</v>
      </c>
      <c r="I727" s="3">
        <v>405.01</v>
      </c>
      <c r="J727" s="3">
        <v>10</v>
      </c>
      <c r="K727" s="3">
        <v>-120.65519999999999</v>
      </c>
    </row>
    <row r="728" spans="1:11" ht="15.6" x14ac:dyDescent="0.3">
      <c r="A728" s="7">
        <v>42541</v>
      </c>
      <c r="B728" s="8">
        <f>YEAR(A728)</f>
        <v>2016</v>
      </c>
      <c r="C728" s="8">
        <f>MONTH(A728)</f>
        <v>6</v>
      </c>
      <c r="D728" s="3" t="s">
        <v>12</v>
      </c>
      <c r="E728" s="3" t="s">
        <v>28</v>
      </c>
      <c r="F728" s="3" t="s">
        <v>31</v>
      </c>
      <c r="G728" s="3" t="s">
        <v>36</v>
      </c>
      <c r="H728" s="3" t="s">
        <v>70</v>
      </c>
      <c r="I728" s="3">
        <v>872.57</v>
      </c>
      <c r="J728" s="3">
        <v>3</v>
      </c>
      <c r="K728" s="3">
        <v>-211.03749999999999</v>
      </c>
    </row>
    <row r="729" spans="1:11" ht="15.6" x14ac:dyDescent="0.3">
      <c r="A729" s="7">
        <v>42544</v>
      </c>
      <c r="B729" s="8">
        <f>YEAR(A729)</f>
        <v>2016</v>
      </c>
      <c r="C729" s="8">
        <f>MONTH(A729)</f>
        <v>6</v>
      </c>
      <c r="D729" s="3" t="s">
        <v>15</v>
      </c>
      <c r="E729" s="3" t="s">
        <v>28</v>
      </c>
      <c r="F729" s="3" t="s">
        <v>29</v>
      </c>
      <c r="G729" s="3" t="s">
        <v>41</v>
      </c>
      <c r="H729" s="3" t="s">
        <v>57</v>
      </c>
      <c r="I729" s="3">
        <v>372.9</v>
      </c>
      <c r="J729" s="3">
        <v>7</v>
      </c>
      <c r="K729" s="3">
        <v>-76.498500000000007</v>
      </c>
    </row>
    <row r="730" spans="1:11" ht="15.6" x14ac:dyDescent="0.3">
      <c r="A730" s="7">
        <v>42545</v>
      </c>
      <c r="B730" s="8">
        <f>YEAR(A730)</f>
        <v>2016</v>
      </c>
      <c r="C730" s="8">
        <f>MONTH(A730)</f>
        <v>6</v>
      </c>
      <c r="D730" s="3" t="s">
        <v>9</v>
      </c>
      <c r="E730" s="3" t="s">
        <v>23</v>
      </c>
      <c r="F730" s="3" t="s">
        <v>31</v>
      </c>
      <c r="G730" s="3" t="s">
        <v>36</v>
      </c>
      <c r="H730" s="3" t="s">
        <v>50</v>
      </c>
      <c r="I730" s="3">
        <v>499.95</v>
      </c>
      <c r="J730" s="3">
        <v>4</v>
      </c>
      <c r="K730" s="3">
        <v>83.095399999999998</v>
      </c>
    </row>
    <row r="731" spans="1:11" ht="15.6" x14ac:dyDescent="0.3">
      <c r="A731" s="7">
        <v>42546</v>
      </c>
      <c r="B731" s="8">
        <f>YEAR(A731)</f>
        <v>2016</v>
      </c>
      <c r="C731" s="8">
        <f>MONTH(A731)</f>
        <v>6</v>
      </c>
      <c r="D731" s="3" t="s">
        <v>18</v>
      </c>
      <c r="E731" s="3" t="s">
        <v>21</v>
      </c>
      <c r="F731" s="3" t="s">
        <v>29</v>
      </c>
      <c r="G731" s="3" t="s">
        <v>40</v>
      </c>
      <c r="H731" s="3" t="s">
        <v>56</v>
      </c>
      <c r="I731" s="3">
        <v>737.12</v>
      </c>
      <c r="J731" s="3">
        <v>9</v>
      </c>
      <c r="K731" s="3">
        <v>-58.928600000000003</v>
      </c>
    </row>
    <row r="732" spans="1:11" ht="15.6" x14ac:dyDescent="0.3">
      <c r="A732" s="7">
        <v>42546</v>
      </c>
      <c r="B732" s="8">
        <f>YEAR(A732)</f>
        <v>2016</v>
      </c>
      <c r="C732" s="8">
        <f>MONTH(A732)</f>
        <v>6</v>
      </c>
      <c r="D732" s="3" t="s">
        <v>17</v>
      </c>
      <c r="E732" s="3" t="s">
        <v>24</v>
      </c>
      <c r="F732" s="3" t="s">
        <v>29</v>
      </c>
      <c r="G732" s="3" t="s">
        <v>32</v>
      </c>
      <c r="H732" s="3" t="s">
        <v>52</v>
      </c>
      <c r="I732" s="3">
        <v>360.34</v>
      </c>
      <c r="J732" s="3">
        <v>10</v>
      </c>
      <c r="K732" s="3">
        <v>123.42489999999999</v>
      </c>
    </row>
    <row r="733" spans="1:11" ht="15.6" x14ac:dyDescent="0.3">
      <c r="A733" s="7">
        <v>42547</v>
      </c>
      <c r="B733" s="8">
        <f>YEAR(A733)</f>
        <v>2016</v>
      </c>
      <c r="C733" s="8">
        <f>MONTH(A733)</f>
        <v>6</v>
      </c>
      <c r="D733" s="3" t="s">
        <v>11</v>
      </c>
      <c r="E733" s="3" t="s">
        <v>20</v>
      </c>
      <c r="F733" s="3" t="s">
        <v>29</v>
      </c>
      <c r="G733" s="3" t="s">
        <v>41</v>
      </c>
      <c r="H733" s="3" t="s">
        <v>65</v>
      </c>
      <c r="I733" s="3">
        <v>300.36</v>
      </c>
      <c r="J733" s="3">
        <v>1</v>
      </c>
      <c r="K733" s="3">
        <v>-75.274699999999996</v>
      </c>
    </row>
    <row r="734" spans="1:11" ht="15.6" x14ac:dyDescent="0.3">
      <c r="A734" s="7">
        <v>42548</v>
      </c>
      <c r="B734" s="8">
        <f>YEAR(A734)</f>
        <v>2016</v>
      </c>
      <c r="C734" s="8">
        <f>MONTH(A734)</f>
        <v>6</v>
      </c>
      <c r="D734" s="3" t="s">
        <v>18</v>
      </c>
      <c r="E734" s="3" t="s">
        <v>22</v>
      </c>
      <c r="F734" s="3" t="s">
        <v>31</v>
      </c>
      <c r="G734" s="3" t="s">
        <v>39</v>
      </c>
      <c r="H734" s="3" t="s">
        <v>71</v>
      </c>
      <c r="I734" s="3">
        <v>92.82</v>
      </c>
      <c r="J734" s="3">
        <v>2</v>
      </c>
      <c r="K734" s="3">
        <v>-14.7042</v>
      </c>
    </row>
    <row r="735" spans="1:11" ht="15.6" x14ac:dyDescent="0.3">
      <c r="A735" s="7">
        <v>42548</v>
      </c>
      <c r="B735" s="8">
        <f>YEAR(A735)</f>
        <v>2016</v>
      </c>
      <c r="C735" s="8">
        <f>MONTH(A735)</f>
        <v>6</v>
      </c>
      <c r="D735" s="3" t="s">
        <v>16</v>
      </c>
      <c r="E735" s="3" t="s">
        <v>20</v>
      </c>
      <c r="F735" s="3" t="s">
        <v>30</v>
      </c>
      <c r="G735" s="3" t="s">
        <v>42</v>
      </c>
      <c r="H735" s="3" t="s">
        <v>69</v>
      </c>
      <c r="I735" s="3">
        <v>972.11</v>
      </c>
      <c r="J735" s="3">
        <v>2</v>
      </c>
      <c r="K735" s="3">
        <v>271.03250000000003</v>
      </c>
    </row>
    <row r="736" spans="1:11" ht="15.6" x14ac:dyDescent="0.3">
      <c r="A736" s="7">
        <v>42549</v>
      </c>
      <c r="B736" s="8">
        <f>YEAR(A736)</f>
        <v>2016</v>
      </c>
      <c r="C736" s="8">
        <f>MONTH(A736)</f>
        <v>6</v>
      </c>
      <c r="D736" s="3" t="s">
        <v>11</v>
      </c>
      <c r="E736" s="3" t="s">
        <v>19</v>
      </c>
      <c r="F736" s="3" t="s">
        <v>29</v>
      </c>
      <c r="G736" s="3" t="s">
        <v>41</v>
      </c>
      <c r="H736" s="3" t="s">
        <v>65</v>
      </c>
      <c r="I736" s="3">
        <v>459.4</v>
      </c>
      <c r="J736" s="3">
        <v>9</v>
      </c>
      <c r="K736" s="3">
        <v>-96.679000000000002</v>
      </c>
    </row>
    <row r="737" spans="1:11" ht="15.6" x14ac:dyDescent="0.3">
      <c r="A737" s="7">
        <v>42552</v>
      </c>
      <c r="B737" s="8">
        <f>YEAR(A737)</f>
        <v>2016</v>
      </c>
      <c r="C737" s="8">
        <f>MONTH(A737)</f>
        <v>7</v>
      </c>
      <c r="D737" s="3" t="s">
        <v>9</v>
      </c>
      <c r="E737" s="3" t="s">
        <v>27</v>
      </c>
      <c r="F737" s="3" t="s">
        <v>29</v>
      </c>
      <c r="G737" s="3" t="s">
        <v>41</v>
      </c>
      <c r="H737" s="3" t="s">
        <v>65</v>
      </c>
      <c r="I737" s="3">
        <v>1063.07</v>
      </c>
      <c r="J737" s="3">
        <v>8</v>
      </c>
      <c r="K737" s="3">
        <v>-211.1687</v>
      </c>
    </row>
    <row r="738" spans="1:11" ht="15.6" x14ac:dyDescent="0.3">
      <c r="A738" s="7">
        <v>42554</v>
      </c>
      <c r="B738" s="8">
        <f>YEAR(A738)</f>
        <v>2016</v>
      </c>
      <c r="C738" s="8">
        <f>MONTH(A738)</f>
        <v>7</v>
      </c>
      <c r="D738" s="3" t="s">
        <v>17</v>
      </c>
      <c r="E738" s="3" t="s">
        <v>25</v>
      </c>
      <c r="F738" s="3" t="s">
        <v>29</v>
      </c>
      <c r="G738" s="3" t="s">
        <v>40</v>
      </c>
      <c r="H738" s="3" t="s">
        <v>61</v>
      </c>
      <c r="I738" s="3">
        <v>446.87</v>
      </c>
      <c r="J738" s="3">
        <v>3</v>
      </c>
      <c r="K738" s="3">
        <v>-91.188500000000005</v>
      </c>
    </row>
    <row r="739" spans="1:11" ht="15.6" x14ac:dyDescent="0.3">
      <c r="A739" s="7">
        <v>42554</v>
      </c>
      <c r="B739" s="8">
        <f>YEAR(A739)</f>
        <v>2016</v>
      </c>
      <c r="C739" s="8">
        <f>MONTH(A739)</f>
        <v>7</v>
      </c>
      <c r="D739" s="3" t="s">
        <v>10</v>
      </c>
      <c r="E739" s="3" t="s">
        <v>24</v>
      </c>
      <c r="F739" s="3" t="s">
        <v>30</v>
      </c>
      <c r="G739" s="3" t="s">
        <v>33</v>
      </c>
      <c r="H739" s="3" t="s">
        <v>45</v>
      </c>
      <c r="I739" s="3">
        <v>696.83</v>
      </c>
      <c r="J739" s="3">
        <v>2</v>
      </c>
      <c r="K739" s="3">
        <v>230.577</v>
      </c>
    </row>
    <row r="740" spans="1:11" ht="15.6" x14ac:dyDescent="0.3">
      <c r="A740" s="7">
        <v>42558</v>
      </c>
      <c r="B740" s="8">
        <f>YEAR(A740)</f>
        <v>2016</v>
      </c>
      <c r="C740" s="8">
        <f>MONTH(A740)</f>
        <v>7</v>
      </c>
      <c r="D740" s="3" t="s">
        <v>9</v>
      </c>
      <c r="E740" s="3" t="s">
        <v>24</v>
      </c>
      <c r="F740" s="3" t="s">
        <v>30</v>
      </c>
      <c r="G740" s="3" t="s">
        <v>35</v>
      </c>
      <c r="H740" s="3" t="s">
        <v>59</v>
      </c>
      <c r="I740" s="3">
        <v>172.52</v>
      </c>
      <c r="J740" s="3">
        <v>3</v>
      </c>
      <c r="K740" s="3">
        <v>-32.966999999999999</v>
      </c>
    </row>
    <row r="741" spans="1:11" ht="15.6" x14ac:dyDescent="0.3">
      <c r="A741" s="7">
        <v>42558</v>
      </c>
      <c r="B741" s="8">
        <f>YEAR(A741)</f>
        <v>2016</v>
      </c>
      <c r="C741" s="8">
        <f>MONTH(A741)</f>
        <v>7</v>
      </c>
      <c r="D741" s="3" t="s">
        <v>10</v>
      </c>
      <c r="E741" s="3" t="s">
        <v>20</v>
      </c>
      <c r="F741" s="3" t="s">
        <v>29</v>
      </c>
      <c r="G741" s="3" t="s">
        <v>41</v>
      </c>
      <c r="H741" s="3" t="s">
        <v>65</v>
      </c>
      <c r="I741" s="3">
        <v>934.73</v>
      </c>
      <c r="J741" s="3">
        <v>9</v>
      </c>
      <c r="K741" s="3">
        <v>42.296100000000003</v>
      </c>
    </row>
    <row r="742" spans="1:11" ht="15.6" x14ac:dyDescent="0.3">
      <c r="A742" s="7">
        <v>42559</v>
      </c>
      <c r="B742" s="8">
        <f>YEAR(A742)</f>
        <v>2016</v>
      </c>
      <c r="C742" s="8">
        <f>MONTH(A742)</f>
        <v>7</v>
      </c>
      <c r="D742" s="3" t="s">
        <v>11</v>
      </c>
      <c r="E742" s="3" t="s">
        <v>21</v>
      </c>
      <c r="F742" s="3" t="s">
        <v>30</v>
      </c>
      <c r="G742" s="3" t="s">
        <v>33</v>
      </c>
      <c r="H742" s="3" t="s">
        <v>45</v>
      </c>
      <c r="I742" s="3">
        <v>709.17</v>
      </c>
      <c r="J742" s="3">
        <v>1</v>
      </c>
      <c r="K742" s="3">
        <v>119.9246</v>
      </c>
    </row>
    <row r="743" spans="1:11" ht="15.6" x14ac:dyDescent="0.3">
      <c r="A743" s="7">
        <v>42560</v>
      </c>
      <c r="B743" s="8">
        <f>YEAR(A743)</f>
        <v>2016</v>
      </c>
      <c r="C743" s="8">
        <f>MONTH(A743)</f>
        <v>7</v>
      </c>
      <c r="D743" s="3" t="s">
        <v>17</v>
      </c>
      <c r="E743" s="3" t="s">
        <v>20</v>
      </c>
      <c r="F743" s="3" t="s">
        <v>30</v>
      </c>
      <c r="G743" s="3" t="s">
        <v>42</v>
      </c>
      <c r="H743" s="3" t="s">
        <v>69</v>
      </c>
      <c r="I743" s="3">
        <v>561.94000000000005</v>
      </c>
      <c r="J743" s="3">
        <v>7</v>
      </c>
      <c r="K743" s="3">
        <v>-173.89089999999999</v>
      </c>
    </row>
    <row r="744" spans="1:11" ht="15.6" x14ac:dyDescent="0.3">
      <c r="A744" s="7">
        <v>42560</v>
      </c>
      <c r="B744" s="8">
        <f>YEAR(A744)</f>
        <v>2016</v>
      </c>
      <c r="C744" s="8">
        <f>MONTH(A744)</f>
        <v>7</v>
      </c>
      <c r="D744" s="3" t="s">
        <v>12</v>
      </c>
      <c r="E744" s="3" t="s">
        <v>28</v>
      </c>
      <c r="F744" s="3" t="s">
        <v>31</v>
      </c>
      <c r="G744" s="3" t="s">
        <v>36</v>
      </c>
      <c r="H744" s="3" t="s">
        <v>70</v>
      </c>
      <c r="I744" s="3">
        <v>704.35</v>
      </c>
      <c r="J744" s="3">
        <v>4</v>
      </c>
      <c r="K744" s="3">
        <v>-125.99160000000001</v>
      </c>
    </row>
    <row r="745" spans="1:11" ht="15.6" x14ac:dyDescent="0.3">
      <c r="A745" s="7">
        <v>42561</v>
      </c>
      <c r="B745" s="8">
        <f>YEAR(A745)</f>
        <v>2016</v>
      </c>
      <c r="C745" s="8">
        <f>MONTH(A745)</f>
        <v>7</v>
      </c>
      <c r="D745" s="3" t="s">
        <v>16</v>
      </c>
      <c r="E745" s="3" t="s">
        <v>19</v>
      </c>
      <c r="F745" s="3" t="s">
        <v>31</v>
      </c>
      <c r="G745" s="3" t="s">
        <v>39</v>
      </c>
      <c r="H745" s="3" t="s">
        <v>71</v>
      </c>
      <c r="I745" s="3">
        <v>568.07000000000005</v>
      </c>
      <c r="J745" s="3">
        <v>6</v>
      </c>
      <c r="K745" s="3">
        <v>-138.179</v>
      </c>
    </row>
    <row r="746" spans="1:11" ht="15.6" x14ac:dyDescent="0.3">
      <c r="A746" s="7">
        <v>42562</v>
      </c>
      <c r="B746" s="8">
        <f>YEAR(A746)</f>
        <v>2016</v>
      </c>
      <c r="C746" s="8">
        <f>MONTH(A746)</f>
        <v>7</v>
      </c>
      <c r="D746" s="3" t="s">
        <v>10</v>
      </c>
      <c r="E746" s="3" t="s">
        <v>23</v>
      </c>
      <c r="F746" s="3" t="s">
        <v>30</v>
      </c>
      <c r="G746" s="3" t="s">
        <v>33</v>
      </c>
      <c r="H746" s="3" t="s">
        <v>60</v>
      </c>
      <c r="I746" s="3">
        <v>918.46</v>
      </c>
      <c r="J746" s="3">
        <v>5</v>
      </c>
      <c r="K746" s="3">
        <v>201.1276</v>
      </c>
    </row>
    <row r="747" spans="1:11" ht="15.6" x14ac:dyDescent="0.3">
      <c r="A747" s="7">
        <v>42563</v>
      </c>
      <c r="B747" s="8">
        <f>YEAR(A747)</f>
        <v>2016</v>
      </c>
      <c r="C747" s="8">
        <f>MONTH(A747)</f>
        <v>7</v>
      </c>
      <c r="D747" s="3" t="s">
        <v>18</v>
      </c>
      <c r="E747" s="3" t="s">
        <v>23</v>
      </c>
      <c r="F747" s="3" t="s">
        <v>30</v>
      </c>
      <c r="G747" s="3" t="s">
        <v>35</v>
      </c>
      <c r="H747" s="3" t="s">
        <v>66</v>
      </c>
      <c r="I747" s="3">
        <v>745.19</v>
      </c>
      <c r="J747" s="3">
        <v>6</v>
      </c>
      <c r="K747" s="3">
        <v>233.90129999999999</v>
      </c>
    </row>
    <row r="748" spans="1:11" ht="15.6" x14ac:dyDescent="0.3">
      <c r="A748" s="7">
        <v>42564</v>
      </c>
      <c r="B748" s="8">
        <f>YEAR(A748)</f>
        <v>2016</v>
      </c>
      <c r="C748" s="8">
        <f>MONTH(A748)</f>
        <v>7</v>
      </c>
      <c r="D748" s="3" t="s">
        <v>12</v>
      </c>
      <c r="E748" s="3" t="s">
        <v>26</v>
      </c>
      <c r="F748" s="3" t="s">
        <v>29</v>
      </c>
      <c r="G748" s="3" t="s">
        <v>32</v>
      </c>
      <c r="H748" s="3" t="s">
        <v>52</v>
      </c>
      <c r="I748" s="3">
        <v>576.65</v>
      </c>
      <c r="J748" s="3">
        <v>3</v>
      </c>
      <c r="K748" s="3">
        <v>-117.9192</v>
      </c>
    </row>
    <row r="749" spans="1:11" ht="15.6" x14ac:dyDescent="0.3">
      <c r="A749" s="7">
        <v>42565</v>
      </c>
      <c r="B749" s="8">
        <f>YEAR(A749)</f>
        <v>2016</v>
      </c>
      <c r="C749" s="8">
        <f>MONTH(A749)</f>
        <v>7</v>
      </c>
      <c r="D749" s="3" t="s">
        <v>18</v>
      </c>
      <c r="E749" s="3" t="s">
        <v>21</v>
      </c>
      <c r="F749" s="3" t="s">
        <v>29</v>
      </c>
      <c r="G749" s="3" t="s">
        <v>40</v>
      </c>
      <c r="H749" s="3" t="s">
        <v>56</v>
      </c>
      <c r="I749" s="3">
        <v>747.04</v>
      </c>
      <c r="J749" s="3">
        <v>2</v>
      </c>
      <c r="K749" s="3">
        <v>-193.28530000000001</v>
      </c>
    </row>
    <row r="750" spans="1:11" ht="15.6" x14ac:dyDescent="0.3">
      <c r="A750" s="7">
        <v>42565</v>
      </c>
      <c r="B750" s="8">
        <f>YEAR(A750)</f>
        <v>2016</v>
      </c>
      <c r="C750" s="8">
        <f>MONTH(A750)</f>
        <v>7</v>
      </c>
      <c r="D750" s="3" t="s">
        <v>17</v>
      </c>
      <c r="E750" s="3" t="s">
        <v>19</v>
      </c>
      <c r="F750" s="3" t="s">
        <v>30</v>
      </c>
      <c r="G750" s="3" t="s">
        <v>35</v>
      </c>
      <c r="H750" s="3" t="s">
        <v>49</v>
      </c>
      <c r="I750" s="3">
        <v>1036.49</v>
      </c>
      <c r="J750" s="3">
        <v>7</v>
      </c>
      <c r="K750" s="3">
        <v>-244.66829999999999</v>
      </c>
    </row>
    <row r="751" spans="1:11" ht="15.6" x14ac:dyDescent="0.3">
      <c r="A751" s="7">
        <v>42566</v>
      </c>
      <c r="B751" s="8">
        <f>YEAR(A751)</f>
        <v>2016</v>
      </c>
      <c r="C751" s="8">
        <f>MONTH(A751)</f>
        <v>7</v>
      </c>
      <c r="D751" s="3" t="s">
        <v>16</v>
      </c>
      <c r="E751" s="3" t="s">
        <v>19</v>
      </c>
      <c r="F751" s="3" t="s">
        <v>30</v>
      </c>
      <c r="G751" s="3" t="s">
        <v>37</v>
      </c>
      <c r="H751" s="3" t="s">
        <v>51</v>
      </c>
      <c r="I751" s="3">
        <v>586.04</v>
      </c>
      <c r="J751" s="3">
        <v>9</v>
      </c>
      <c r="K751" s="3">
        <v>130.2004</v>
      </c>
    </row>
    <row r="752" spans="1:11" ht="15.6" x14ac:dyDescent="0.3">
      <c r="A752" s="7">
        <v>42567</v>
      </c>
      <c r="B752" s="8">
        <f>YEAR(A752)</f>
        <v>2016</v>
      </c>
      <c r="C752" s="8">
        <f>MONTH(A752)</f>
        <v>7</v>
      </c>
      <c r="D752" s="3" t="s">
        <v>16</v>
      </c>
      <c r="E752" s="3" t="s">
        <v>20</v>
      </c>
      <c r="F752" s="3" t="s">
        <v>29</v>
      </c>
      <c r="G752" s="3" t="s">
        <v>32</v>
      </c>
      <c r="H752" s="3" t="s">
        <v>48</v>
      </c>
      <c r="I752" s="3">
        <v>330.2</v>
      </c>
      <c r="J752" s="3">
        <v>10</v>
      </c>
      <c r="K752" s="3">
        <v>-10.2372</v>
      </c>
    </row>
    <row r="753" spans="1:11" ht="15.6" x14ac:dyDescent="0.3">
      <c r="A753" s="7">
        <v>42567</v>
      </c>
      <c r="B753" s="8">
        <f>YEAR(A753)</f>
        <v>2016</v>
      </c>
      <c r="C753" s="8">
        <f>MONTH(A753)</f>
        <v>7</v>
      </c>
      <c r="D753" s="3" t="s">
        <v>15</v>
      </c>
      <c r="E753" s="3" t="s">
        <v>27</v>
      </c>
      <c r="F753" s="3" t="s">
        <v>29</v>
      </c>
      <c r="G753" s="3" t="s">
        <v>32</v>
      </c>
      <c r="H753" s="3" t="s">
        <v>48</v>
      </c>
      <c r="I753" s="3">
        <v>331.25</v>
      </c>
      <c r="J753" s="3">
        <v>6</v>
      </c>
      <c r="K753" s="3">
        <v>-47.626300000000001</v>
      </c>
    </row>
    <row r="754" spans="1:11" ht="15.6" x14ac:dyDescent="0.3">
      <c r="A754" s="7">
        <v>42569</v>
      </c>
      <c r="B754" s="8">
        <f>YEAR(A754)</f>
        <v>2016</v>
      </c>
      <c r="C754" s="8">
        <f>MONTH(A754)</f>
        <v>7</v>
      </c>
      <c r="D754" s="3" t="s">
        <v>14</v>
      </c>
      <c r="E754" s="3" t="s">
        <v>24</v>
      </c>
      <c r="F754" s="3" t="s">
        <v>29</v>
      </c>
      <c r="G754" s="3" t="s">
        <v>40</v>
      </c>
      <c r="H754" s="3" t="s">
        <v>56</v>
      </c>
      <c r="I754" s="3">
        <v>495.13</v>
      </c>
      <c r="J754" s="3">
        <v>2</v>
      </c>
      <c r="K754" s="3">
        <v>25.208300000000001</v>
      </c>
    </row>
    <row r="755" spans="1:11" ht="15.6" x14ac:dyDescent="0.3">
      <c r="A755" s="7">
        <v>42569</v>
      </c>
      <c r="B755" s="8">
        <f>YEAR(A755)</f>
        <v>2016</v>
      </c>
      <c r="C755" s="8">
        <f>MONTH(A755)</f>
        <v>7</v>
      </c>
      <c r="D755" s="3" t="s">
        <v>17</v>
      </c>
      <c r="E755" s="3" t="s">
        <v>26</v>
      </c>
      <c r="F755" s="3" t="s">
        <v>30</v>
      </c>
      <c r="G755" s="3" t="s">
        <v>37</v>
      </c>
      <c r="H755" s="3" t="s">
        <v>64</v>
      </c>
      <c r="I755" s="3">
        <v>623.07000000000005</v>
      </c>
      <c r="J755" s="3">
        <v>10</v>
      </c>
      <c r="K755" s="3">
        <v>-159.28100000000001</v>
      </c>
    </row>
    <row r="756" spans="1:11" ht="15.6" x14ac:dyDescent="0.3">
      <c r="A756" s="7">
        <v>42571</v>
      </c>
      <c r="B756" s="8">
        <f>YEAR(A756)</f>
        <v>2016</v>
      </c>
      <c r="C756" s="8">
        <f>MONTH(A756)</f>
        <v>7</v>
      </c>
      <c r="D756" s="3" t="s">
        <v>12</v>
      </c>
      <c r="E756" s="3" t="s">
        <v>22</v>
      </c>
      <c r="F756" s="3" t="s">
        <v>30</v>
      </c>
      <c r="G756" s="3" t="s">
        <v>33</v>
      </c>
      <c r="H756" s="3" t="s">
        <v>55</v>
      </c>
      <c r="I756" s="3">
        <v>345.87</v>
      </c>
      <c r="J756" s="3">
        <v>9</v>
      </c>
      <c r="K756" s="3">
        <v>33.3431</v>
      </c>
    </row>
    <row r="757" spans="1:11" ht="15.6" x14ac:dyDescent="0.3">
      <c r="A757" s="7">
        <v>42571</v>
      </c>
      <c r="B757" s="8">
        <f>YEAR(A757)</f>
        <v>2016</v>
      </c>
      <c r="C757" s="8">
        <f>MONTH(A757)</f>
        <v>7</v>
      </c>
      <c r="D757" s="3" t="s">
        <v>11</v>
      </c>
      <c r="E757" s="3" t="s">
        <v>20</v>
      </c>
      <c r="F757" s="3" t="s">
        <v>31</v>
      </c>
      <c r="G757" s="3" t="s">
        <v>34</v>
      </c>
      <c r="H757" s="3" t="s">
        <v>47</v>
      </c>
      <c r="I757" s="3">
        <v>910.04</v>
      </c>
      <c r="J757" s="3">
        <v>8</v>
      </c>
      <c r="K757" s="3">
        <v>61.753300000000003</v>
      </c>
    </row>
    <row r="758" spans="1:11" ht="15.6" x14ac:dyDescent="0.3">
      <c r="A758" s="7">
        <v>42572</v>
      </c>
      <c r="B758" s="8">
        <f>YEAR(A758)</f>
        <v>2016</v>
      </c>
      <c r="C758" s="8">
        <f>MONTH(A758)</f>
        <v>7</v>
      </c>
      <c r="D758" s="3" t="s">
        <v>11</v>
      </c>
      <c r="E758" s="3" t="s">
        <v>24</v>
      </c>
      <c r="F758" s="3" t="s">
        <v>31</v>
      </c>
      <c r="G758" s="3" t="s">
        <v>38</v>
      </c>
      <c r="H758" s="3" t="s">
        <v>63</v>
      </c>
      <c r="I758" s="3">
        <v>500.26</v>
      </c>
      <c r="J758" s="3">
        <v>10</v>
      </c>
      <c r="K758" s="3">
        <v>-127.1529</v>
      </c>
    </row>
    <row r="759" spans="1:11" ht="15.6" x14ac:dyDescent="0.3">
      <c r="A759" s="7">
        <v>42572</v>
      </c>
      <c r="B759" s="8">
        <f>YEAR(A759)</f>
        <v>2016</v>
      </c>
      <c r="C759" s="8">
        <f>MONTH(A759)</f>
        <v>7</v>
      </c>
      <c r="D759" s="3" t="s">
        <v>16</v>
      </c>
      <c r="E759" s="3" t="s">
        <v>26</v>
      </c>
      <c r="F759" s="3" t="s">
        <v>29</v>
      </c>
      <c r="G759" s="3" t="s">
        <v>41</v>
      </c>
      <c r="H759" s="3" t="s">
        <v>65</v>
      </c>
      <c r="I759" s="3">
        <v>615.38</v>
      </c>
      <c r="J759" s="3">
        <v>1</v>
      </c>
      <c r="K759" s="3">
        <v>-15.564500000000001</v>
      </c>
    </row>
    <row r="760" spans="1:11" ht="15.6" x14ac:dyDescent="0.3">
      <c r="A760" s="7">
        <v>42572</v>
      </c>
      <c r="B760" s="8">
        <f>YEAR(A760)</f>
        <v>2016</v>
      </c>
      <c r="C760" s="8">
        <f>MONTH(A760)</f>
        <v>7</v>
      </c>
      <c r="D760" s="3" t="s">
        <v>17</v>
      </c>
      <c r="E760" s="3" t="s">
        <v>26</v>
      </c>
      <c r="F760" s="3" t="s">
        <v>29</v>
      </c>
      <c r="G760" s="3" t="s">
        <v>40</v>
      </c>
      <c r="H760" s="3" t="s">
        <v>61</v>
      </c>
      <c r="I760" s="3">
        <v>900.46</v>
      </c>
      <c r="J760" s="3">
        <v>6</v>
      </c>
      <c r="K760" s="3">
        <v>268.88619999999997</v>
      </c>
    </row>
    <row r="761" spans="1:11" ht="15.6" x14ac:dyDescent="0.3">
      <c r="A761" s="7">
        <v>42573</v>
      </c>
      <c r="B761" s="8">
        <f>YEAR(A761)</f>
        <v>2016</v>
      </c>
      <c r="C761" s="8">
        <f>MONTH(A761)</f>
        <v>7</v>
      </c>
      <c r="D761" s="3" t="s">
        <v>12</v>
      </c>
      <c r="E761" s="3" t="s">
        <v>20</v>
      </c>
      <c r="F761" s="3" t="s">
        <v>30</v>
      </c>
      <c r="G761" s="3" t="s">
        <v>37</v>
      </c>
      <c r="H761" s="3" t="s">
        <v>51</v>
      </c>
      <c r="I761" s="3">
        <v>874.76</v>
      </c>
      <c r="J761" s="3">
        <v>10</v>
      </c>
      <c r="K761" s="3">
        <v>-6.0461</v>
      </c>
    </row>
    <row r="762" spans="1:11" ht="15.6" x14ac:dyDescent="0.3">
      <c r="A762" s="7">
        <v>42575</v>
      </c>
      <c r="B762" s="8">
        <f>YEAR(A762)</f>
        <v>2016</v>
      </c>
      <c r="C762" s="8">
        <f>MONTH(A762)</f>
        <v>7</v>
      </c>
      <c r="D762" s="3" t="s">
        <v>15</v>
      </c>
      <c r="E762" s="3" t="s">
        <v>26</v>
      </c>
      <c r="F762" s="3" t="s">
        <v>31</v>
      </c>
      <c r="G762" s="3" t="s">
        <v>36</v>
      </c>
      <c r="H762" s="3" t="s">
        <v>50</v>
      </c>
      <c r="I762" s="3">
        <v>1015.14</v>
      </c>
      <c r="J762" s="3">
        <v>4</v>
      </c>
      <c r="K762" s="3">
        <v>354.82209999999998</v>
      </c>
    </row>
    <row r="763" spans="1:11" ht="15.6" x14ac:dyDescent="0.3">
      <c r="A763" s="7">
        <v>42576</v>
      </c>
      <c r="B763" s="8">
        <f>YEAR(A763)</f>
        <v>2016</v>
      </c>
      <c r="C763" s="8">
        <f>MONTH(A763)</f>
        <v>7</v>
      </c>
      <c r="D763" s="3" t="s">
        <v>16</v>
      </c>
      <c r="E763" s="3" t="s">
        <v>24</v>
      </c>
      <c r="F763" s="3" t="s">
        <v>29</v>
      </c>
      <c r="G763" s="3" t="s">
        <v>32</v>
      </c>
      <c r="H763" s="3" t="s">
        <v>44</v>
      </c>
      <c r="I763" s="3">
        <v>680.95</v>
      </c>
      <c r="J763" s="3">
        <v>8</v>
      </c>
      <c r="K763" s="3">
        <v>8.3719999999999999</v>
      </c>
    </row>
    <row r="764" spans="1:11" ht="15.6" x14ac:dyDescent="0.3">
      <c r="A764" s="7">
        <v>42577</v>
      </c>
      <c r="B764" s="8">
        <f>YEAR(A764)</f>
        <v>2016</v>
      </c>
      <c r="C764" s="8">
        <f>MONTH(A764)</f>
        <v>7</v>
      </c>
      <c r="D764" s="3" t="s">
        <v>18</v>
      </c>
      <c r="E764" s="3" t="s">
        <v>25</v>
      </c>
      <c r="F764" s="3" t="s">
        <v>30</v>
      </c>
      <c r="G764" s="3" t="s">
        <v>42</v>
      </c>
      <c r="H764" s="3" t="s">
        <v>58</v>
      </c>
      <c r="I764" s="3">
        <v>49.2</v>
      </c>
      <c r="J764" s="3">
        <v>4</v>
      </c>
      <c r="K764" s="3">
        <v>-18.063500000000001</v>
      </c>
    </row>
    <row r="765" spans="1:11" ht="15.6" x14ac:dyDescent="0.3">
      <c r="A765" s="7">
        <v>42579</v>
      </c>
      <c r="B765" s="8">
        <f>YEAR(A765)</f>
        <v>2016</v>
      </c>
      <c r="C765" s="8">
        <f>MONTH(A765)</f>
        <v>7</v>
      </c>
      <c r="D765" s="3" t="s">
        <v>15</v>
      </c>
      <c r="E765" s="3" t="s">
        <v>24</v>
      </c>
      <c r="F765" s="3" t="s">
        <v>29</v>
      </c>
      <c r="G765" s="3" t="s">
        <v>32</v>
      </c>
      <c r="H765" s="3" t="s">
        <v>52</v>
      </c>
      <c r="I765" s="3">
        <v>175.73</v>
      </c>
      <c r="J765" s="3">
        <v>3</v>
      </c>
      <c r="K765" s="3">
        <v>-37.787100000000002</v>
      </c>
    </row>
    <row r="766" spans="1:11" ht="15.6" x14ac:dyDescent="0.3">
      <c r="A766" s="7">
        <v>42579</v>
      </c>
      <c r="B766" s="8">
        <f>YEAR(A766)</f>
        <v>2016</v>
      </c>
      <c r="C766" s="8">
        <f>MONTH(A766)</f>
        <v>7</v>
      </c>
      <c r="D766" s="3" t="s">
        <v>14</v>
      </c>
      <c r="E766" s="3" t="s">
        <v>25</v>
      </c>
      <c r="F766" s="3" t="s">
        <v>31</v>
      </c>
      <c r="G766" s="3" t="s">
        <v>36</v>
      </c>
      <c r="H766" s="3" t="s">
        <v>50</v>
      </c>
      <c r="I766" s="3">
        <v>1142.45</v>
      </c>
      <c r="J766" s="3">
        <v>9</v>
      </c>
      <c r="K766" s="3">
        <v>223.86940000000001</v>
      </c>
    </row>
    <row r="767" spans="1:11" ht="15.6" x14ac:dyDescent="0.3">
      <c r="A767" s="7">
        <v>42580</v>
      </c>
      <c r="B767" s="8">
        <f>YEAR(A767)</f>
        <v>2016</v>
      </c>
      <c r="C767" s="8">
        <f>MONTH(A767)</f>
        <v>7</v>
      </c>
      <c r="D767" s="3" t="s">
        <v>16</v>
      </c>
      <c r="E767" s="3" t="s">
        <v>22</v>
      </c>
      <c r="F767" s="3" t="s">
        <v>30</v>
      </c>
      <c r="G767" s="3" t="s">
        <v>37</v>
      </c>
      <c r="H767" s="3" t="s">
        <v>51</v>
      </c>
      <c r="I767" s="3">
        <v>680.18</v>
      </c>
      <c r="J767" s="3">
        <v>4</v>
      </c>
      <c r="K767" s="3">
        <v>-119.0444</v>
      </c>
    </row>
    <row r="768" spans="1:11" ht="15.6" x14ac:dyDescent="0.3">
      <c r="A768" s="7">
        <v>42580</v>
      </c>
      <c r="B768" s="8">
        <f>YEAR(A768)</f>
        <v>2016</v>
      </c>
      <c r="C768" s="8">
        <f>MONTH(A768)</f>
        <v>7</v>
      </c>
      <c r="D768" s="3" t="s">
        <v>16</v>
      </c>
      <c r="E768" s="3" t="s">
        <v>23</v>
      </c>
      <c r="F768" s="3" t="s">
        <v>31</v>
      </c>
      <c r="G768" s="3" t="s">
        <v>36</v>
      </c>
      <c r="H768" s="3" t="s">
        <v>50</v>
      </c>
      <c r="I768" s="3">
        <v>306.14</v>
      </c>
      <c r="J768" s="3">
        <v>8</v>
      </c>
      <c r="K768" s="3">
        <v>-53.082000000000001</v>
      </c>
    </row>
    <row r="769" spans="1:11" ht="15.6" x14ac:dyDescent="0.3">
      <c r="A769" s="7">
        <v>42584</v>
      </c>
      <c r="B769" s="8">
        <f>YEAR(A769)</f>
        <v>2016</v>
      </c>
      <c r="C769" s="8">
        <f>MONTH(A769)</f>
        <v>8</v>
      </c>
      <c r="D769" s="3" t="s">
        <v>14</v>
      </c>
      <c r="E769" s="3" t="s">
        <v>20</v>
      </c>
      <c r="F769" s="3" t="s">
        <v>30</v>
      </c>
      <c r="G769" s="3" t="s">
        <v>42</v>
      </c>
      <c r="H769" s="3" t="s">
        <v>58</v>
      </c>
      <c r="I769" s="3">
        <v>775.39</v>
      </c>
      <c r="J769" s="3">
        <v>2</v>
      </c>
      <c r="K769" s="3">
        <v>-141.12909999999999</v>
      </c>
    </row>
    <row r="770" spans="1:11" ht="15.6" x14ac:dyDescent="0.3">
      <c r="A770" s="7">
        <v>42585</v>
      </c>
      <c r="B770" s="8">
        <f>YEAR(A770)</f>
        <v>2016</v>
      </c>
      <c r="C770" s="8">
        <f>MONTH(A770)</f>
        <v>8</v>
      </c>
      <c r="D770" s="3" t="s">
        <v>14</v>
      </c>
      <c r="E770" s="3" t="s">
        <v>27</v>
      </c>
      <c r="F770" s="3" t="s">
        <v>29</v>
      </c>
      <c r="G770" s="3" t="s">
        <v>40</v>
      </c>
      <c r="H770" s="3" t="s">
        <v>56</v>
      </c>
      <c r="I770" s="3">
        <v>924.48</v>
      </c>
      <c r="J770" s="3">
        <v>7</v>
      </c>
      <c r="K770" s="3">
        <v>-21.096599999999999</v>
      </c>
    </row>
    <row r="771" spans="1:11" ht="15.6" x14ac:dyDescent="0.3">
      <c r="A771" s="7">
        <v>42587</v>
      </c>
      <c r="B771" s="8">
        <f>YEAR(A771)</f>
        <v>2016</v>
      </c>
      <c r="C771" s="8">
        <f>MONTH(A771)</f>
        <v>8</v>
      </c>
      <c r="D771" s="3" t="s">
        <v>16</v>
      </c>
      <c r="E771" s="3" t="s">
        <v>20</v>
      </c>
      <c r="F771" s="3" t="s">
        <v>29</v>
      </c>
      <c r="G771" s="3" t="s">
        <v>41</v>
      </c>
      <c r="H771" s="3" t="s">
        <v>65</v>
      </c>
      <c r="I771" s="3">
        <v>698.49</v>
      </c>
      <c r="J771" s="3">
        <v>1</v>
      </c>
      <c r="K771" s="3">
        <v>-43.795099999999998</v>
      </c>
    </row>
    <row r="772" spans="1:11" ht="15.6" x14ac:dyDescent="0.3">
      <c r="A772" s="7">
        <v>42587</v>
      </c>
      <c r="B772" s="8">
        <f>YEAR(A772)</f>
        <v>2016</v>
      </c>
      <c r="C772" s="8">
        <f>MONTH(A772)</f>
        <v>8</v>
      </c>
      <c r="D772" s="3" t="s">
        <v>9</v>
      </c>
      <c r="E772" s="3" t="s">
        <v>21</v>
      </c>
      <c r="F772" s="3" t="s">
        <v>30</v>
      </c>
      <c r="G772" s="3" t="s">
        <v>42</v>
      </c>
      <c r="H772" s="3" t="s">
        <v>58</v>
      </c>
      <c r="I772" s="3">
        <v>219.56</v>
      </c>
      <c r="J772" s="3">
        <v>3</v>
      </c>
      <c r="K772" s="3">
        <v>50.978000000000002</v>
      </c>
    </row>
    <row r="773" spans="1:11" ht="15.6" x14ac:dyDescent="0.3">
      <c r="A773" s="7">
        <v>42589</v>
      </c>
      <c r="B773" s="8">
        <f>YEAR(A773)</f>
        <v>2016</v>
      </c>
      <c r="C773" s="8">
        <f>MONTH(A773)</f>
        <v>8</v>
      </c>
      <c r="D773" s="3" t="s">
        <v>15</v>
      </c>
      <c r="E773" s="3" t="s">
        <v>27</v>
      </c>
      <c r="F773" s="3" t="s">
        <v>31</v>
      </c>
      <c r="G773" s="3" t="s">
        <v>38</v>
      </c>
      <c r="H773" s="3" t="s">
        <v>53</v>
      </c>
      <c r="I773" s="3">
        <v>1022.2</v>
      </c>
      <c r="J773" s="3">
        <v>8</v>
      </c>
      <c r="K773" s="3">
        <v>-367.72859999999997</v>
      </c>
    </row>
    <row r="774" spans="1:11" ht="15.6" x14ac:dyDescent="0.3">
      <c r="A774" s="7">
        <v>42589</v>
      </c>
      <c r="B774" s="8">
        <f>YEAR(A774)</f>
        <v>2016</v>
      </c>
      <c r="C774" s="8">
        <f>MONTH(A774)</f>
        <v>8</v>
      </c>
      <c r="D774" s="3" t="s">
        <v>18</v>
      </c>
      <c r="E774" s="3" t="s">
        <v>20</v>
      </c>
      <c r="F774" s="3" t="s">
        <v>31</v>
      </c>
      <c r="G774" s="3" t="s">
        <v>38</v>
      </c>
      <c r="H774" s="3" t="s">
        <v>53</v>
      </c>
      <c r="I774" s="3">
        <v>759.9</v>
      </c>
      <c r="J774" s="3">
        <v>3</v>
      </c>
      <c r="K774" s="3">
        <v>190.8817</v>
      </c>
    </row>
    <row r="775" spans="1:11" ht="15.6" x14ac:dyDescent="0.3">
      <c r="A775" s="7">
        <v>42589</v>
      </c>
      <c r="B775" s="8">
        <f>YEAR(A775)</f>
        <v>2016</v>
      </c>
      <c r="C775" s="8">
        <f>MONTH(A775)</f>
        <v>8</v>
      </c>
      <c r="D775" s="3" t="s">
        <v>13</v>
      </c>
      <c r="E775" s="3" t="s">
        <v>23</v>
      </c>
      <c r="F775" s="3" t="s">
        <v>29</v>
      </c>
      <c r="G775" s="3" t="s">
        <v>41</v>
      </c>
      <c r="H775" s="3" t="s">
        <v>57</v>
      </c>
      <c r="I775" s="3">
        <v>996.72</v>
      </c>
      <c r="J775" s="3">
        <v>8</v>
      </c>
      <c r="K775" s="3">
        <v>-331.07990000000001</v>
      </c>
    </row>
    <row r="776" spans="1:11" ht="15.6" x14ac:dyDescent="0.3">
      <c r="A776" s="7">
        <v>42590</v>
      </c>
      <c r="B776" s="8">
        <f>YEAR(A776)</f>
        <v>2016</v>
      </c>
      <c r="C776" s="8">
        <f>MONTH(A776)</f>
        <v>8</v>
      </c>
      <c r="D776" s="3" t="s">
        <v>17</v>
      </c>
      <c r="E776" s="3" t="s">
        <v>27</v>
      </c>
      <c r="F776" s="3" t="s">
        <v>29</v>
      </c>
      <c r="G776" s="3" t="s">
        <v>40</v>
      </c>
      <c r="H776" s="3" t="s">
        <v>61</v>
      </c>
      <c r="I776" s="3">
        <v>925.55</v>
      </c>
      <c r="J776" s="3">
        <v>4</v>
      </c>
      <c r="K776" s="3">
        <v>-178.33500000000001</v>
      </c>
    </row>
    <row r="777" spans="1:11" ht="15.6" x14ac:dyDescent="0.3">
      <c r="A777" s="7">
        <v>42595</v>
      </c>
      <c r="B777" s="8">
        <f>YEAR(A777)</f>
        <v>2016</v>
      </c>
      <c r="C777" s="8">
        <f>MONTH(A777)</f>
        <v>8</v>
      </c>
      <c r="D777" s="3" t="s">
        <v>10</v>
      </c>
      <c r="E777" s="3" t="s">
        <v>21</v>
      </c>
      <c r="F777" s="3" t="s">
        <v>30</v>
      </c>
      <c r="G777" s="3" t="s">
        <v>37</v>
      </c>
      <c r="H777" s="3" t="s">
        <v>64</v>
      </c>
      <c r="I777" s="3">
        <v>151.41</v>
      </c>
      <c r="J777" s="3">
        <v>8</v>
      </c>
      <c r="K777" s="3">
        <v>-32.411000000000001</v>
      </c>
    </row>
    <row r="778" spans="1:11" ht="15.6" x14ac:dyDescent="0.3">
      <c r="A778" s="7">
        <v>42597</v>
      </c>
      <c r="B778" s="8">
        <f>YEAR(A778)</f>
        <v>2016</v>
      </c>
      <c r="C778" s="8">
        <f>MONTH(A778)</f>
        <v>8</v>
      </c>
      <c r="D778" s="3" t="s">
        <v>14</v>
      </c>
      <c r="E778" s="3" t="s">
        <v>20</v>
      </c>
      <c r="F778" s="3" t="s">
        <v>31</v>
      </c>
      <c r="G778" s="3" t="s">
        <v>43</v>
      </c>
      <c r="H778" s="3" t="s">
        <v>68</v>
      </c>
      <c r="I778" s="3">
        <v>721.72</v>
      </c>
      <c r="J778" s="3">
        <v>6</v>
      </c>
      <c r="K778" s="3">
        <v>172.4958</v>
      </c>
    </row>
    <row r="779" spans="1:11" ht="15.6" x14ac:dyDescent="0.3">
      <c r="A779" s="7">
        <v>42598</v>
      </c>
      <c r="B779" s="8">
        <f>YEAR(A779)</f>
        <v>2016</v>
      </c>
      <c r="C779" s="8">
        <f>MONTH(A779)</f>
        <v>8</v>
      </c>
      <c r="D779" s="3" t="s">
        <v>13</v>
      </c>
      <c r="E779" s="3" t="s">
        <v>26</v>
      </c>
      <c r="F779" s="3" t="s">
        <v>30</v>
      </c>
      <c r="G779" s="3" t="s">
        <v>33</v>
      </c>
      <c r="H779" s="3" t="s">
        <v>55</v>
      </c>
      <c r="I779" s="3">
        <v>637.29</v>
      </c>
      <c r="J779" s="3">
        <v>9</v>
      </c>
      <c r="K779" s="3">
        <v>156.5087</v>
      </c>
    </row>
    <row r="780" spans="1:11" ht="15.6" x14ac:dyDescent="0.3">
      <c r="A780" s="7">
        <v>42599</v>
      </c>
      <c r="B780" s="8">
        <f>YEAR(A780)</f>
        <v>2016</v>
      </c>
      <c r="C780" s="8">
        <f>MONTH(A780)</f>
        <v>8</v>
      </c>
      <c r="D780" s="3" t="s">
        <v>16</v>
      </c>
      <c r="E780" s="3" t="s">
        <v>28</v>
      </c>
      <c r="F780" s="3" t="s">
        <v>31</v>
      </c>
      <c r="G780" s="3" t="s">
        <v>34</v>
      </c>
      <c r="H780" s="3" t="s">
        <v>46</v>
      </c>
      <c r="I780" s="3">
        <v>1155.6600000000001</v>
      </c>
      <c r="J780" s="3">
        <v>3</v>
      </c>
      <c r="K780" s="3">
        <v>191.393</v>
      </c>
    </row>
    <row r="781" spans="1:11" ht="15.6" x14ac:dyDescent="0.3">
      <c r="A781" s="7">
        <v>42599</v>
      </c>
      <c r="B781" s="8">
        <f>YEAR(A781)</f>
        <v>2016</v>
      </c>
      <c r="C781" s="8">
        <f>MONTH(A781)</f>
        <v>8</v>
      </c>
      <c r="D781" s="3" t="s">
        <v>18</v>
      </c>
      <c r="E781" s="3" t="s">
        <v>26</v>
      </c>
      <c r="F781" s="3" t="s">
        <v>30</v>
      </c>
      <c r="G781" s="3" t="s">
        <v>42</v>
      </c>
      <c r="H781" s="3" t="s">
        <v>58</v>
      </c>
      <c r="I781" s="3">
        <v>121.23</v>
      </c>
      <c r="J781" s="3">
        <v>5</v>
      </c>
      <c r="K781" s="3">
        <v>13.7424</v>
      </c>
    </row>
    <row r="782" spans="1:11" ht="15.6" x14ac:dyDescent="0.3">
      <c r="A782" s="7">
        <v>42600</v>
      </c>
      <c r="B782" s="8">
        <f>YEAR(A782)</f>
        <v>2016</v>
      </c>
      <c r="C782" s="8">
        <f>MONTH(A782)</f>
        <v>8</v>
      </c>
      <c r="D782" s="3" t="s">
        <v>9</v>
      </c>
      <c r="E782" s="3" t="s">
        <v>19</v>
      </c>
      <c r="F782" s="3" t="s">
        <v>29</v>
      </c>
      <c r="G782" s="3" t="s">
        <v>40</v>
      </c>
      <c r="H782" s="3" t="s">
        <v>61</v>
      </c>
      <c r="I782" s="3">
        <v>147.11000000000001</v>
      </c>
      <c r="J782" s="3">
        <v>5</v>
      </c>
      <c r="K782" s="3">
        <v>-54.068600000000004</v>
      </c>
    </row>
    <row r="783" spans="1:11" ht="15.6" x14ac:dyDescent="0.3">
      <c r="A783" s="7">
        <v>42601</v>
      </c>
      <c r="B783" s="8">
        <f>YEAR(A783)</f>
        <v>2016</v>
      </c>
      <c r="C783" s="8">
        <f>MONTH(A783)</f>
        <v>8</v>
      </c>
      <c r="D783" s="3" t="s">
        <v>15</v>
      </c>
      <c r="E783" s="3" t="s">
        <v>21</v>
      </c>
      <c r="F783" s="3" t="s">
        <v>31</v>
      </c>
      <c r="G783" s="3" t="s">
        <v>36</v>
      </c>
      <c r="H783" s="3" t="s">
        <v>70</v>
      </c>
      <c r="I783" s="3">
        <v>915.15</v>
      </c>
      <c r="J783" s="3">
        <v>6</v>
      </c>
      <c r="K783" s="3">
        <v>261.50220000000002</v>
      </c>
    </row>
    <row r="784" spans="1:11" ht="15.6" x14ac:dyDescent="0.3">
      <c r="A784" s="7">
        <v>42601</v>
      </c>
      <c r="B784" s="8">
        <f>YEAR(A784)</f>
        <v>2016</v>
      </c>
      <c r="C784" s="8">
        <f>MONTH(A784)</f>
        <v>8</v>
      </c>
      <c r="D784" s="3" t="s">
        <v>11</v>
      </c>
      <c r="E784" s="3" t="s">
        <v>24</v>
      </c>
      <c r="F784" s="3" t="s">
        <v>29</v>
      </c>
      <c r="G784" s="3" t="s">
        <v>32</v>
      </c>
      <c r="H784" s="3" t="s">
        <v>52</v>
      </c>
      <c r="I784" s="3">
        <v>1101.8900000000001</v>
      </c>
      <c r="J784" s="3">
        <v>1</v>
      </c>
      <c r="K784" s="3">
        <v>-407.77809999999999</v>
      </c>
    </row>
    <row r="785" spans="1:11" ht="15.6" x14ac:dyDescent="0.3">
      <c r="A785" s="7">
        <v>42602</v>
      </c>
      <c r="B785" s="8">
        <f>YEAR(A785)</f>
        <v>2016</v>
      </c>
      <c r="C785" s="8">
        <f>MONTH(A785)</f>
        <v>8</v>
      </c>
      <c r="D785" s="3" t="s">
        <v>17</v>
      </c>
      <c r="E785" s="3" t="s">
        <v>22</v>
      </c>
      <c r="F785" s="3" t="s">
        <v>29</v>
      </c>
      <c r="G785" s="3" t="s">
        <v>32</v>
      </c>
      <c r="H785" s="3" t="s">
        <v>44</v>
      </c>
      <c r="I785" s="3">
        <v>420.81</v>
      </c>
      <c r="J785" s="3">
        <v>6</v>
      </c>
      <c r="K785" s="3">
        <v>-66.995599999999996</v>
      </c>
    </row>
    <row r="786" spans="1:11" ht="15.6" x14ac:dyDescent="0.3">
      <c r="A786" s="7">
        <v>42603</v>
      </c>
      <c r="B786" s="8">
        <f>YEAR(A786)</f>
        <v>2016</v>
      </c>
      <c r="C786" s="8">
        <f>MONTH(A786)</f>
        <v>8</v>
      </c>
      <c r="D786" s="3" t="s">
        <v>13</v>
      </c>
      <c r="E786" s="3" t="s">
        <v>23</v>
      </c>
      <c r="F786" s="3" t="s">
        <v>31</v>
      </c>
      <c r="G786" s="3" t="s">
        <v>34</v>
      </c>
      <c r="H786" s="3" t="s">
        <v>46</v>
      </c>
      <c r="I786" s="3">
        <v>28.16</v>
      </c>
      <c r="J786" s="3">
        <v>9</v>
      </c>
      <c r="K786" s="3">
        <v>-10.164</v>
      </c>
    </row>
    <row r="787" spans="1:11" ht="15.6" x14ac:dyDescent="0.3">
      <c r="A787" s="7">
        <v>42603</v>
      </c>
      <c r="B787" s="8">
        <f>YEAR(A787)</f>
        <v>2016</v>
      </c>
      <c r="C787" s="8">
        <f>MONTH(A787)</f>
        <v>8</v>
      </c>
      <c r="D787" s="3" t="s">
        <v>17</v>
      </c>
      <c r="E787" s="3" t="s">
        <v>19</v>
      </c>
      <c r="F787" s="3" t="s">
        <v>31</v>
      </c>
      <c r="G787" s="3" t="s">
        <v>39</v>
      </c>
      <c r="H787" s="3" t="s">
        <v>54</v>
      </c>
      <c r="I787" s="3">
        <v>881.5</v>
      </c>
      <c r="J787" s="3">
        <v>9</v>
      </c>
      <c r="K787" s="3">
        <v>-330.37259999999998</v>
      </c>
    </row>
    <row r="788" spans="1:11" ht="15.6" x14ac:dyDescent="0.3">
      <c r="A788" s="7">
        <v>42603</v>
      </c>
      <c r="B788" s="8">
        <f>YEAR(A788)</f>
        <v>2016</v>
      </c>
      <c r="C788" s="8">
        <f>MONTH(A788)</f>
        <v>8</v>
      </c>
      <c r="D788" s="3" t="s">
        <v>10</v>
      </c>
      <c r="E788" s="3" t="s">
        <v>26</v>
      </c>
      <c r="F788" s="3" t="s">
        <v>31</v>
      </c>
      <c r="G788" s="3" t="s">
        <v>43</v>
      </c>
      <c r="H788" s="3" t="s">
        <v>62</v>
      </c>
      <c r="I788" s="3">
        <v>950.24</v>
      </c>
      <c r="J788" s="3">
        <v>10</v>
      </c>
      <c r="K788" s="3">
        <v>-333.8623</v>
      </c>
    </row>
    <row r="789" spans="1:11" ht="15.6" x14ac:dyDescent="0.3">
      <c r="A789" s="7">
        <v>42604</v>
      </c>
      <c r="B789" s="8">
        <f>YEAR(A789)</f>
        <v>2016</v>
      </c>
      <c r="C789" s="8">
        <f>MONTH(A789)</f>
        <v>8</v>
      </c>
      <c r="D789" s="3" t="s">
        <v>10</v>
      </c>
      <c r="E789" s="3" t="s">
        <v>19</v>
      </c>
      <c r="F789" s="3" t="s">
        <v>30</v>
      </c>
      <c r="G789" s="3" t="s">
        <v>37</v>
      </c>
      <c r="H789" s="3" t="s">
        <v>64</v>
      </c>
      <c r="I789" s="3">
        <v>1090.33</v>
      </c>
      <c r="J789" s="3">
        <v>10</v>
      </c>
      <c r="K789" s="3">
        <v>331.99619999999999</v>
      </c>
    </row>
    <row r="790" spans="1:11" ht="15.6" x14ac:dyDescent="0.3">
      <c r="A790" s="7">
        <v>42606</v>
      </c>
      <c r="B790" s="8">
        <f>YEAR(A790)</f>
        <v>2016</v>
      </c>
      <c r="C790" s="8">
        <f>MONTH(A790)</f>
        <v>8</v>
      </c>
      <c r="D790" s="3" t="s">
        <v>16</v>
      </c>
      <c r="E790" s="3" t="s">
        <v>27</v>
      </c>
      <c r="F790" s="3" t="s">
        <v>31</v>
      </c>
      <c r="G790" s="3" t="s">
        <v>36</v>
      </c>
      <c r="H790" s="3" t="s">
        <v>70</v>
      </c>
      <c r="I790" s="3">
        <v>786.64</v>
      </c>
      <c r="J790" s="3">
        <v>3</v>
      </c>
      <c r="K790" s="3">
        <v>195.95169999999999</v>
      </c>
    </row>
    <row r="791" spans="1:11" ht="15.6" x14ac:dyDescent="0.3">
      <c r="A791" s="7">
        <v>42607</v>
      </c>
      <c r="B791" s="8">
        <f>YEAR(A791)</f>
        <v>2016</v>
      </c>
      <c r="C791" s="8">
        <f>MONTH(A791)</f>
        <v>8</v>
      </c>
      <c r="D791" s="3" t="s">
        <v>15</v>
      </c>
      <c r="E791" s="3" t="s">
        <v>25</v>
      </c>
      <c r="F791" s="3" t="s">
        <v>30</v>
      </c>
      <c r="G791" s="3" t="s">
        <v>42</v>
      </c>
      <c r="H791" s="3" t="s">
        <v>67</v>
      </c>
      <c r="I791" s="3">
        <v>836.81</v>
      </c>
      <c r="J791" s="3">
        <v>3</v>
      </c>
      <c r="K791" s="3">
        <v>141.53039999999999</v>
      </c>
    </row>
    <row r="792" spans="1:11" ht="15.6" x14ac:dyDescent="0.3">
      <c r="A792" s="7">
        <v>42607</v>
      </c>
      <c r="B792" s="8">
        <f>YEAR(A792)</f>
        <v>2016</v>
      </c>
      <c r="C792" s="8">
        <f>MONTH(A792)</f>
        <v>8</v>
      </c>
      <c r="D792" s="3" t="s">
        <v>14</v>
      </c>
      <c r="E792" s="3" t="s">
        <v>19</v>
      </c>
      <c r="F792" s="3" t="s">
        <v>30</v>
      </c>
      <c r="G792" s="3" t="s">
        <v>33</v>
      </c>
      <c r="H792" s="3" t="s">
        <v>55</v>
      </c>
      <c r="I792" s="3">
        <v>125.15</v>
      </c>
      <c r="J792" s="3">
        <v>3</v>
      </c>
      <c r="K792" s="3">
        <v>-49.573700000000002</v>
      </c>
    </row>
    <row r="793" spans="1:11" ht="15.6" x14ac:dyDescent="0.3">
      <c r="A793" s="7">
        <v>42609</v>
      </c>
      <c r="B793" s="8">
        <f>YEAR(A793)</f>
        <v>2016</v>
      </c>
      <c r="C793" s="8">
        <f>MONTH(A793)</f>
        <v>8</v>
      </c>
      <c r="D793" s="3" t="s">
        <v>9</v>
      </c>
      <c r="E793" s="3" t="s">
        <v>22</v>
      </c>
      <c r="F793" s="3" t="s">
        <v>29</v>
      </c>
      <c r="G793" s="3" t="s">
        <v>32</v>
      </c>
      <c r="H793" s="3" t="s">
        <v>44</v>
      </c>
      <c r="I793" s="3">
        <v>1005.2</v>
      </c>
      <c r="J793" s="3">
        <v>5</v>
      </c>
      <c r="K793" s="3">
        <v>-391.14550000000003</v>
      </c>
    </row>
    <row r="794" spans="1:11" ht="15.6" x14ac:dyDescent="0.3">
      <c r="A794" s="7">
        <v>42609</v>
      </c>
      <c r="B794" s="8">
        <f>YEAR(A794)</f>
        <v>2016</v>
      </c>
      <c r="C794" s="8">
        <f>MONTH(A794)</f>
        <v>8</v>
      </c>
      <c r="D794" s="3" t="s">
        <v>10</v>
      </c>
      <c r="E794" s="3" t="s">
        <v>21</v>
      </c>
      <c r="F794" s="3" t="s">
        <v>30</v>
      </c>
      <c r="G794" s="3" t="s">
        <v>35</v>
      </c>
      <c r="H794" s="3" t="s">
        <v>66</v>
      </c>
      <c r="I794" s="3">
        <v>43.97</v>
      </c>
      <c r="J794" s="3">
        <v>3</v>
      </c>
      <c r="K794" s="3">
        <v>13.5451</v>
      </c>
    </row>
    <row r="795" spans="1:11" ht="15.6" x14ac:dyDescent="0.3">
      <c r="A795" s="7">
        <v>42610</v>
      </c>
      <c r="B795" s="8">
        <f>YEAR(A795)</f>
        <v>2016</v>
      </c>
      <c r="C795" s="8">
        <f>MONTH(A795)</f>
        <v>8</v>
      </c>
      <c r="D795" s="3" t="s">
        <v>11</v>
      </c>
      <c r="E795" s="3" t="s">
        <v>23</v>
      </c>
      <c r="F795" s="3" t="s">
        <v>31</v>
      </c>
      <c r="G795" s="3" t="s">
        <v>38</v>
      </c>
      <c r="H795" s="3" t="s">
        <v>63</v>
      </c>
      <c r="I795" s="3">
        <v>419.31</v>
      </c>
      <c r="J795" s="3">
        <v>8</v>
      </c>
      <c r="K795" s="3">
        <v>64.272599999999997</v>
      </c>
    </row>
    <row r="796" spans="1:11" ht="15.6" x14ac:dyDescent="0.3">
      <c r="A796" s="7">
        <v>42611</v>
      </c>
      <c r="B796" s="8">
        <f>YEAR(A796)</f>
        <v>2016</v>
      </c>
      <c r="C796" s="8">
        <f>MONTH(A796)</f>
        <v>8</v>
      </c>
      <c r="D796" s="3" t="s">
        <v>14</v>
      </c>
      <c r="E796" s="3" t="s">
        <v>24</v>
      </c>
      <c r="F796" s="3" t="s">
        <v>29</v>
      </c>
      <c r="G796" s="3" t="s">
        <v>40</v>
      </c>
      <c r="H796" s="3" t="s">
        <v>61</v>
      </c>
      <c r="I796" s="3">
        <v>284.3</v>
      </c>
      <c r="J796" s="3">
        <v>10</v>
      </c>
      <c r="K796" s="3">
        <v>53.869399999999999</v>
      </c>
    </row>
    <row r="797" spans="1:11" ht="15.6" x14ac:dyDescent="0.3">
      <c r="A797" s="7">
        <v>42612</v>
      </c>
      <c r="B797" s="8">
        <f>YEAR(A797)</f>
        <v>2016</v>
      </c>
      <c r="C797" s="8">
        <f>MONTH(A797)</f>
        <v>8</v>
      </c>
      <c r="D797" s="3" t="s">
        <v>15</v>
      </c>
      <c r="E797" s="3" t="s">
        <v>20</v>
      </c>
      <c r="F797" s="3" t="s">
        <v>31</v>
      </c>
      <c r="G797" s="3" t="s">
        <v>38</v>
      </c>
      <c r="H797" s="3" t="s">
        <v>53</v>
      </c>
      <c r="I797" s="3">
        <v>820.87</v>
      </c>
      <c r="J797" s="3">
        <v>5</v>
      </c>
      <c r="K797" s="3">
        <v>213.07749999999999</v>
      </c>
    </row>
    <row r="798" spans="1:11" ht="15.6" x14ac:dyDescent="0.3">
      <c r="A798" s="7">
        <v>42614</v>
      </c>
      <c r="B798" s="8">
        <f>YEAR(A798)</f>
        <v>2016</v>
      </c>
      <c r="C798" s="8">
        <f>MONTH(A798)</f>
        <v>9</v>
      </c>
      <c r="D798" s="3" t="s">
        <v>13</v>
      </c>
      <c r="E798" s="3" t="s">
        <v>23</v>
      </c>
      <c r="F798" s="3" t="s">
        <v>31</v>
      </c>
      <c r="G798" s="3" t="s">
        <v>43</v>
      </c>
      <c r="H798" s="3" t="s">
        <v>62</v>
      </c>
      <c r="I798" s="3">
        <v>1127.2</v>
      </c>
      <c r="J798" s="3">
        <v>6</v>
      </c>
      <c r="K798" s="3">
        <v>-299.3021</v>
      </c>
    </row>
    <row r="799" spans="1:11" ht="15.6" x14ac:dyDescent="0.3">
      <c r="A799" s="7">
        <v>42614</v>
      </c>
      <c r="B799" s="8">
        <f>YEAR(A799)</f>
        <v>2016</v>
      </c>
      <c r="C799" s="8">
        <f>MONTH(A799)</f>
        <v>9</v>
      </c>
      <c r="D799" s="3" t="s">
        <v>18</v>
      </c>
      <c r="E799" s="3" t="s">
        <v>21</v>
      </c>
      <c r="F799" s="3" t="s">
        <v>29</v>
      </c>
      <c r="G799" s="3" t="s">
        <v>40</v>
      </c>
      <c r="H799" s="3" t="s">
        <v>56</v>
      </c>
      <c r="I799" s="3">
        <v>676.9</v>
      </c>
      <c r="J799" s="3">
        <v>3</v>
      </c>
      <c r="K799" s="3">
        <v>-13.528700000000001</v>
      </c>
    </row>
    <row r="800" spans="1:11" ht="15.6" x14ac:dyDescent="0.3">
      <c r="A800" s="7">
        <v>42615</v>
      </c>
      <c r="B800" s="8">
        <f>YEAR(A800)</f>
        <v>2016</v>
      </c>
      <c r="C800" s="8">
        <f>MONTH(A800)</f>
        <v>9</v>
      </c>
      <c r="D800" s="3" t="s">
        <v>9</v>
      </c>
      <c r="E800" s="3" t="s">
        <v>25</v>
      </c>
      <c r="F800" s="3" t="s">
        <v>30</v>
      </c>
      <c r="G800" s="3" t="s">
        <v>35</v>
      </c>
      <c r="H800" s="3" t="s">
        <v>66</v>
      </c>
      <c r="I800" s="3">
        <v>1007.57</v>
      </c>
      <c r="J800" s="3">
        <v>2</v>
      </c>
      <c r="K800" s="3">
        <v>-63.082799999999999</v>
      </c>
    </row>
    <row r="801" spans="1:11" ht="15.6" x14ac:dyDescent="0.3">
      <c r="A801" s="7">
        <v>42615</v>
      </c>
      <c r="B801" s="8">
        <f>YEAR(A801)</f>
        <v>2016</v>
      </c>
      <c r="C801" s="8">
        <f>MONTH(A801)</f>
        <v>9</v>
      </c>
      <c r="D801" s="3" t="s">
        <v>9</v>
      </c>
      <c r="E801" s="3" t="s">
        <v>20</v>
      </c>
      <c r="F801" s="3" t="s">
        <v>30</v>
      </c>
      <c r="G801" s="3" t="s">
        <v>33</v>
      </c>
      <c r="H801" s="3" t="s">
        <v>45</v>
      </c>
      <c r="I801" s="3">
        <v>261.67</v>
      </c>
      <c r="J801" s="3">
        <v>2</v>
      </c>
      <c r="K801" s="3">
        <v>-32.193100000000001</v>
      </c>
    </row>
    <row r="802" spans="1:11" ht="15.6" x14ac:dyDescent="0.3">
      <c r="A802" s="7">
        <v>42619</v>
      </c>
      <c r="B802" s="8">
        <f>YEAR(A802)</f>
        <v>2016</v>
      </c>
      <c r="C802" s="8">
        <f>MONTH(A802)</f>
        <v>9</v>
      </c>
      <c r="D802" s="3" t="s">
        <v>11</v>
      </c>
      <c r="E802" s="3" t="s">
        <v>25</v>
      </c>
      <c r="F802" s="3" t="s">
        <v>29</v>
      </c>
      <c r="G802" s="3" t="s">
        <v>41</v>
      </c>
      <c r="H802" s="3" t="s">
        <v>65</v>
      </c>
      <c r="I802" s="3">
        <v>632.95000000000005</v>
      </c>
      <c r="J802" s="3">
        <v>6</v>
      </c>
      <c r="K802" s="3">
        <v>200.97059999999999</v>
      </c>
    </row>
    <row r="803" spans="1:11" ht="15.6" x14ac:dyDescent="0.3">
      <c r="A803" s="7">
        <v>42619</v>
      </c>
      <c r="B803" s="8">
        <f>YEAR(A803)</f>
        <v>2016</v>
      </c>
      <c r="C803" s="8">
        <f>MONTH(A803)</f>
        <v>9</v>
      </c>
      <c r="D803" s="3" t="s">
        <v>13</v>
      </c>
      <c r="E803" s="3" t="s">
        <v>22</v>
      </c>
      <c r="F803" s="3" t="s">
        <v>31</v>
      </c>
      <c r="G803" s="3" t="s">
        <v>34</v>
      </c>
      <c r="H803" s="3" t="s">
        <v>47</v>
      </c>
      <c r="I803" s="3">
        <v>960.88</v>
      </c>
      <c r="J803" s="3">
        <v>3</v>
      </c>
      <c r="K803" s="3">
        <v>-302.87670000000003</v>
      </c>
    </row>
    <row r="804" spans="1:11" ht="15.6" x14ac:dyDescent="0.3">
      <c r="A804" s="7">
        <v>42619</v>
      </c>
      <c r="B804" s="8">
        <f>YEAR(A804)</f>
        <v>2016</v>
      </c>
      <c r="C804" s="8">
        <f>MONTH(A804)</f>
        <v>9</v>
      </c>
      <c r="D804" s="3" t="s">
        <v>15</v>
      </c>
      <c r="E804" s="3" t="s">
        <v>22</v>
      </c>
      <c r="F804" s="3" t="s">
        <v>29</v>
      </c>
      <c r="G804" s="3" t="s">
        <v>41</v>
      </c>
      <c r="H804" s="3" t="s">
        <v>65</v>
      </c>
      <c r="I804" s="3">
        <v>526.09</v>
      </c>
      <c r="J804" s="3">
        <v>2</v>
      </c>
      <c r="K804" s="3">
        <v>2.6812</v>
      </c>
    </row>
    <row r="805" spans="1:11" ht="15.6" x14ac:dyDescent="0.3">
      <c r="A805" s="7">
        <v>42620</v>
      </c>
      <c r="B805" s="8">
        <f>YEAR(A805)</f>
        <v>2016</v>
      </c>
      <c r="C805" s="8">
        <f>MONTH(A805)</f>
        <v>9</v>
      </c>
      <c r="D805" s="3" t="s">
        <v>18</v>
      </c>
      <c r="E805" s="3" t="s">
        <v>20</v>
      </c>
      <c r="F805" s="3" t="s">
        <v>30</v>
      </c>
      <c r="G805" s="3" t="s">
        <v>37</v>
      </c>
      <c r="H805" s="3" t="s">
        <v>51</v>
      </c>
      <c r="I805" s="3">
        <v>531.36</v>
      </c>
      <c r="J805" s="3">
        <v>3</v>
      </c>
      <c r="K805" s="3">
        <v>172.2261</v>
      </c>
    </row>
    <row r="806" spans="1:11" ht="15.6" x14ac:dyDescent="0.3">
      <c r="A806" s="7">
        <v>42620</v>
      </c>
      <c r="B806" s="8">
        <f>YEAR(A806)</f>
        <v>2016</v>
      </c>
      <c r="C806" s="8">
        <f>MONTH(A806)</f>
        <v>9</v>
      </c>
      <c r="D806" s="3" t="s">
        <v>11</v>
      </c>
      <c r="E806" s="3" t="s">
        <v>24</v>
      </c>
      <c r="F806" s="3" t="s">
        <v>30</v>
      </c>
      <c r="G806" s="3" t="s">
        <v>42</v>
      </c>
      <c r="H806" s="3" t="s">
        <v>58</v>
      </c>
      <c r="I806" s="3">
        <v>1097.76</v>
      </c>
      <c r="J806" s="3">
        <v>10</v>
      </c>
      <c r="K806" s="3">
        <v>140.3227</v>
      </c>
    </row>
    <row r="807" spans="1:11" ht="15.6" x14ac:dyDescent="0.3">
      <c r="A807" s="7">
        <v>42621</v>
      </c>
      <c r="B807" s="8">
        <f>YEAR(A807)</f>
        <v>2016</v>
      </c>
      <c r="C807" s="8">
        <f>MONTH(A807)</f>
        <v>9</v>
      </c>
      <c r="D807" s="3" t="s">
        <v>9</v>
      </c>
      <c r="E807" s="3" t="s">
        <v>24</v>
      </c>
      <c r="F807" s="3" t="s">
        <v>29</v>
      </c>
      <c r="G807" s="3" t="s">
        <v>40</v>
      </c>
      <c r="H807" s="3" t="s">
        <v>61</v>
      </c>
      <c r="I807" s="3">
        <v>254.62</v>
      </c>
      <c r="J807" s="3">
        <v>6</v>
      </c>
      <c r="K807" s="3">
        <v>-43.9497</v>
      </c>
    </row>
    <row r="808" spans="1:11" ht="15.6" x14ac:dyDescent="0.3">
      <c r="A808" s="7">
        <v>42621</v>
      </c>
      <c r="B808" s="8">
        <f>YEAR(A808)</f>
        <v>2016</v>
      </c>
      <c r="C808" s="8">
        <f>MONTH(A808)</f>
        <v>9</v>
      </c>
      <c r="D808" s="3" t="s">
        <v>12</v>
      </c>
      <c r="E808" s="3" t="s">
        <v>22</v>
      </c>
      <c r="F808" s="3" t="s">
        <v>31</v>
      </c>
      <c r="G808" s="3" t="s">
        <v>39</v>
      </c>
      <c r="H808" s="3" t="s">
        <v>71</v>
      </c>
      <c r="I808" s="3">
        <v>700.78</v>
      </c>
      <c r="J808" s="3">
        <v>9</v>
      </c>
      <c r="K808" s="3">
        <v>-14.044</v>
      </c>
    </row>
    <row r="809" spans="1:11" ht="15.6" x14ac:dyDescent="0.3">
      <c r="A809" s="7">
        <v>42621</v>
      </c>
      <c r="B809" s="8">
        <f>YEAR(A809)</f>
        <v>2016</v>
      </c>
      <c r="C809" s="8">
        <f>MONTH(A809)</f>
        <v>9</v>
      </c>
      <c r="D809" s="3" t="s">
        <v>13</v>
      </c>
      <c r="E809" s="3" t="s">
        <v>27</v>
      </c>
      <c r="F809" s="3" t="s">
        <v>29</v>
      </c>
      <c r="G809" s="3" t="s">
        <v>32</v>
      </c>
      <c r="H809" s="3" t="s">
        <v>44</v>
      </c>
      <c r="I809" s="3">
        <v>947.53</v>
      </c>
      <c r="J809" s="3">
        <v>10</v>
      </c>
      <c r="K809" s="3">
        <v>83.597899999999996</v>
      </c>
    </row>
    <row r="810" spans="1:11" ht="15.6" x14ac:dyDescent="0.3">
      <c r="A810" s="7">
        <v>42621</v>
      </c>
      <c r="B810" s="8">
        <f>YEAR(A810)</f>
        <v>2016</v>
      </c>
      <c r="C810" s="8">
        <f>MONTH(A810)</f>
        <v>9</v>
      </c>
      <c r="D810" s="3" t="s">
        <v>11</v>
      </c>
      <c r="E810" s="3" t="s">
        <v>25</v>
      </c>
      <c r="F810" s="3" t="s">
        <v>30</v>
      </c>
      <c r="G810" s="3" t="s">
        <v>37</v>
      </c>
      <c r="H810" s="3" t="s">
        <v>51</v>
      </c>
      <c r="I810" s="3">
        <v>1099.81</v>
      </c>
      <c r="J810" s="3">
        <v>1</v>
      </c>
      <c r="K810" s="3">
        <v>92.647099999999995</v>
      </c>
    </row>
    <row r="811" spans="1:11" ht="15.6" x14ac:dyDescent="0.3">
      <c r="A811" s="7">
        <v>42622</v>
      </c>
      <c r="B811" s="8">
        <f>YEAR(A811)</f>
        <v>2016</v>
      </c>
      <c r="C811" s="8">
        <f>MONTH(A811)</f>
        <v>9</v>
      </c>
      <c r="D811" s="3" t="s">
        <v>12</v>
      </c>
      <c r="E811" s="3" t="s">
        <v>19</v>
      </c>
      <c r="F811" s="3" t="s">
        <v>30</v>
      </c>
      <c r="G811" s="3" t="s">
        <v>33</v>
      </c>
      <c r="H811" s="3" t="s">
        <v>60</v>
      </c>
      <c r="I811" s="3">
        <v>547.6</v>
      </c>
      <c r="J811" s="3">
        <v>5</v>
      </c>
      <c r="K811" s="3">
        <v>24.999700000000001</v>
      </c>
    </row>
    <row r="812" spans="1:11" ht="15.6" x14ac:dyDescent="0.3">
      <c r="A812" s="7">
        <v>42622</v>
      </c>
      <c r="B812" s="8">
        <f>YEAR(A812)</f>
        <v>2016</v>
      </c>
      <c r="C812" s="8">
        <f>MONTH(A812)</f>
        <v>9</v>
      </c>
      <c r="D812" s="3" t="s">
        <v>15</v>
      </c>
      <c r="E812" s="3" t="s">
        <v>23</v>
      </c>
      <c r="F812" s="3" t="s">
        <v>30</v>
      </c>
      <c r="G812" s="3" t="s">
        <v>42</v>
      </c>
      <c r="H812" s="3" t="s">
        <v>69</v>
      </c>
      <c r="I812" s="3">
        <v>521.17999999999995</v>
      </c>
      <c r="J812" s="3">
        <v>1</v>
      </c>
      <c r="K812" s="3">
        <v>23.139399999999998</v>
      </c>
    </row>
    <row r="813" spans="1:11" ht="15.6" x14ac:dyDescent="0.3">
      <c r="A813" s="7">
        <v>42623</v>
      </c>
      <c r="B813" s="8">
        <f>YEAR(A813)</f>
        <v>2016</v>
      </c>
      <c r="C813" s="8">
        <f>MONTH(A813)</f>
        <v>9</v>
      </c>
      <c r="D813" s="3" t="s">
        <v>15</v>
      </c>
      <c r="E813" s="3" t="s">
        <v>19</v>
      </c>
      <c r="F813" s="3" t="s">
        <v>31</v>
      </c>
      <c r="G813" s="3" t="s">
        <v>39</v>
      </c>
      <c r="H813" s="3" t="s">
        <v>71</v>
      </c>
      <c r="I813" s="3">
        <v>243.61</v>
      </c>
      <c r="J813" s="3">
        <v>1</v>
      </c>
      <c r="K813" s="3">
        <v>-59.632100000000001</v>
      </c>
    </row>
    <row r="814" spans="1:11" ht="15.6" x14ac:dyDescent="0.3">
      <c r="A814" s="7">
        <v>42625</v>
      </c>
      <c r="B814" s="8">
        <f>YEAR(A814)</f>
        <v>2016</v>
      </c>
      <c r="C814" s="8">
        <f>MONTH(A814)</f>
        <v>9</v>
      </c>
      <c r="D814" s="3" t="s">
        <v>9</v>
      </c>
      <c r="E814" s="3" t="s">
        <v>24</v>
      </c>
      <c r="F814" s="3" t="s">
        <v>30</v>
      </c>
      <c r="G814" s="3" t="s">
        <v>33</v>
      </c>
      <c r="H814" s="3" t="s">
        <v>55</v>
      </c>
      <c r="I814" s="3">
        <v>260.43</v>
      </c>
      <c r="J814" s="3">
        <v>7</v>
      </c>
      <c r="K814" s="3">
        <v>72.095399999999998</v>
      </c>
    </row>
    <row r="815" spans="1:11" ht="15.6" x14ac:dyDescent="0.3">
      <c r="A815" s="7">
        <v>42625</v>
      </c>
      <c r="B815" s="8">
        <f>YEAR(A815)</f>
        <v>2016</v>
      </c>
      <c r="C815" s="8">
        <f>MONTH(A815)</f>
        <v>9</v>
      </c>
      <c r="D815" s="3" t="s">
        <v>10</v>
      </c>
      <c r="E815" s="3" t="s">
        <v>27</v>
      </c>
      <c r="F815" s="3" t="s">
        <v>30</v>
      </c>
      <c r="G815" s="3" t="s">
        <v>42</v>
      </c>
      <c r="H815" s="3" t="s">
        <v>67</v>
      </c>
      <c r="I815" s="3">
        <v>689.81</v>
      </c>
      <c r="J815" s="3">
        <v>10</v>
      </c>
      <c r="K815" s="3">
        <v>-41.884700000000002</v>
      </c>
    </row>
    <row r="816" spans="1:11" ht="15.6" x14ac:dyDescent="0.3">
      <c r="A816" s="7">
        <v>42626</v>
      </c>
      <c r="B816" s="8">
        <f>YEAR(A816)</f>
        <v>2016</v>
      </c>
      <c r="C816" s="8">
        <f>MONTH(A816)</f>
        <v>9</v>
      </c>
      <c r="D816" s="3" t="s">
        <v>17</v>
      </c>
      <c r="E816" s="3" t="s">
        <v>26</v>
      </c>
      <c r="F816" s="3" t="s">
        <v>31</v>
      </c>
      <c r="G816" s="3" t="s">
        <v>34</v>
      </c>
      <c r="H816" s="3" t="s">
        <v>46</v>
      </c>
      <c r="I816" s="3">
        <v>81.290000000000006</v>
      </c>
      <c r="J816" s="3">
        <v>5</v>
      </c>
      <c r="K816" s="3">
        <v>6.5395000000000003</v>
      </c>
    </row>
    <row r="817" spans="1:11" ht="15.6" x14ac:dyDescent="0.3">
      <c r="A817" s="7">
        <v>42626</v>
      </c>
      <c r="B817" s="8">
        <f>YEAR(A817)</f>
        <v>2016</v>
      </c>
      <c r="C817" s="8">
        <f>MONTH(A817)</f>
        <v>9</v>
      </c>
      <c r="D817" s="3" t="s">
        <v>9</v>
      </c>
      <c r="E817" s="3" t="s">
        <v>24</v>
      </c>
      <c r="F817" s="3" t="s">
        <v>31</v>
      </c>
      <c r="G817" s="3" t="s">
        <v>34</v>
      </c>
      <c r="H817" s="3" t="s">
        <v>46</v>
      </c>
      <c r="I817" s="3">
        <v>811.9</v>
      </c>
      <c r="J817" s="3">
        <v>8</v>
      </c>
      <c r="K817" s="3">
        <v>-196.4571</v>
      </c>
    </row>
    <row r="818" spans="1:11" ht="15.6" x14ac:dyDescent="0.3">
      <c r="A818" s="7">
        <v>42627</v>
      </c>
      <c r="B818" s="8">
        <f>YEAR(A818)</f>
        <v>2016</v>
      </c>
      <c r="C818" s="8">
        <f>MONTH(A818)</f>
        <v>9</v>
      </c>
      <c r="D818" s="3" t="s">
        <v>17</v>
      </c>
      <c r="E818" s="3" t="s">
        <v>26</v>
      </c>
      <c r="F818" s="3" t="s">
        <v>30</v>
      </c>
      <c r="G818" s="3" t="s">
        <v>42</v>
      </c>
      <c r="H818" s="3" t="s">
        <v>69</v>
      </c>
      <c r="I818" s="3">
        <v>792.97</v>
      </c>
      <c r="J818" s="3">
        <v>10</v>
      </c>
      <c r="K818" s="3">
        <v>3.5402</v>
      </c>
    </row>
    <row r="819" spans="1:11" ht="15.6" x14ac:dyDescent="0.3">
      <c r="A819" s="7">
        <v>42628</v>
      </c>
      <c r="B819" s="8">
        <f>YEAR(A819)</f>
        <v>2016</v>
      </c>
      <c r="C819" s="8">
        <f>MONTH(A819)</f>
        <v>9</v>
      </c>
      <c r="D819" s="3" t="s">
        <v>11</v>
      </c>
      <c r="E819" s="3" t="s">
        <v>25</v>
      </c>
      <c r="F819" s="3" t="s">
        <v>30</v>
      </c>
      <c r="G819" s="3" t="s">
        <v>33</v>
      </c>
      <c r="H819" s="3" t="s">
        <v>60</v>
      </c>
      <c r="I819" s="3">
        <v>963.71</v>
      </c>
      <c r="J819" s="3">
        <v>8</v>
      </c>
      <c r="K819" s="3">
        <v>-254.47200000000001</v>
      </c>
    </row>
    <row r="820" spans="1:11" ht="15.6" x14ac:dyDescent="0.3">
      <c r="A820" s="7">
        <v>42629</v>
      </c>
      <c r="B820" s="8">
        <f>YEAR(A820)</f>
        <v>2016</v>
      </c>
      <c r="C820" s="8">
        <f>MONTH(A820)</f>
        <v>9</v>
      </c>
      <c r="D820" s="3" t="s">
        <v>13</v>
      </c>
      <c r="E820" s="3" t="s">
        <v>27</v>
      </c>
      <c r="F820" s="3" t="s">
        <v>29</v>
      </c>
      <c r="G820" s="3" t="s">
        <v>41</v>
      </c>
      <c r="H820" s="3" t="s">
        <v>57</v>
      </c>
      <c r="I820" s="3">
        <v>1104.8800000000001</v>
      </c>
      <c r="J820" s="3">
        <v>2</v>
      </c>
      <c r="K820" s="3">
        <v>293.5616</v>
      </c>
    </row>
    <row r="821" spans="1:11" ht="15.6" x14ac:dyDescent="0.3">
      <c r="A821" s="7">
        <v>42631</v>
      </c>
      <c r="B821" s="8">
        <f>YEAR(A821)</f>
        <v>2016</v>
      </c>
      <c r="C821" s="8">
        <f>MONTH(A821)</f>
        <v>9</v>
      </c>
      <c r="D821" s="3" t="s">
        <v>10</v>
      </c>
      <c r="E821" s="3" t="s">
        <v>25</v>
      </c>
      <c r="F821" s="3" t="s">
        <v>30</v>
      </c>
      <c r="G821" s="3" t="s">
        <v>35</v>
      </c>
      <c r="H821" s="3" t="s">
        <v>59</v>
      </c>
      <c r="I821" s="3">
        <v>335.42</v>
      </c>
      <c r="J821" s="3">
        <v>10</v>
      </c>
      <c r="K821" s="3">
        <v>111.5121</v>
      </c>
    </row>
    <row r="822" spans="1:11" ht="15.6" x14ac:dyDescent="0.3">
      <c r="A822" s="7">
        <v>42632</v>
      </c>
      <c r="B822" s="8">
        <f>YEAR(A822)</f>
        <v>2016</v>
      </c>
      <c r="C822" s="8">
        <f>MONTH(A822)</f>
        <v>9</v>
      </c>
      <c r="D822" s="3" t="s">
        <v>14</v>
      </c>
      <c r="E822" s="3" t="s">
        <v>28</v>
      </c>
      <c r="F822" s="3" t="s">
        <v>30</v>
      </c>
      <c r="G822" s="3" t="s">
        <v>33</v>
      </c>
      <c r="H822" s="3" t="s">
        <v>60</v>
      </c>
      <c r="I822" s="3">
        <v>912.59</v>
      </c>
      <c r="J822" s="3">
        <v>6</v>
      </c>
      <c r="K822" s="3">
        <v>196.9032</v>
      </c>
    </row>
    <row r="823" spans="1:11" ht="15.6" x14ac:dyDescent="0.3">
      <c r="A823" s="7">
        <v>42633</v>
      </c>
      <c r="B823" s="8">
        <f>YEAR(A823)</f>
        <v>2016</v>
      </c>
      <c r="C823" s="8">
        <f>MONTH(A823)</f>
        <v>9</v>
      </c>
      <c r="D823" s="3" t="s">
        <v>11</v>
      </c>
      <c r="E823" s="3" t="s">
        <v>21</v>
      </c>
      <c r="F823" s="3" t="s">
        <v>30</v>
      </c>
      <c r="G823" s="3" t="s">
        <v>35</v>
      </c>
      <c r="H823" s="3" t="s">
        <v>49</v>
      </c>
      <c r="I823" s="3">
        <v>620.30999999999995</v>
      </c>
      <c r="J823" s="3">
        <v>2</v>
      </c>
      <c r="K823" s="3">
        <v>168.29589999999999</v>
      </c>
    </row>
    <row r="824" spans="1:11" ht="15.6" x14ac:dyDescent="0.3">
      <c r="A824" s="7">
        <v>42633</v>
      </c>
      <c r="B824" s="8">
        <f>YEAR(A824)</f>
        <v>2016</v>
      </c>
      <c r="C824" s="8">
        <f>MONTH(A824)</f>
        <v>9</v>
      </c>
      <c r="D824" s="3" t="s">
        <v>12</v>
      </c>
      <c r="E824" s="3" t="s">
        <v>19</v>
      </c>
      <c r="F824" s="3" t="s">
        <v>30</v>
      </c>
      <c r="G824" s="3" t="s">
        <v>37</v>
      </c>
      <c r="H824" s="3" t="s">
        <v>51</v>
      </c>
      <c r="I824" s="3">
        <v>497.33</v>
      </c>
      <c r="J824" s="3">
        <v>3</v>
      </c>
      <c r="K824" s="3">
        <v>-160.7304</v>
      </c>
    </row>
    <row r="825" spans="1:11" ht="15.6" x14ac:dyDescent="0.3">
      <c r="A825" s="7">
        <v>42636</v>
      </c>
      <c r="B825" s="8">
        <f>YEAR(A825)</f>
        <v>2016</v>
      </c>
      <c r="C825" s="8">
        <f>MONTH(A825)</f>
        <v>9</v>
      </c>
      <c r="D825" s="3" t="s">
        <v>9</v>
      </c>
      <c r="E825" s="3" t="s">
        <v>27</v>
      </c>
      <c r="F825" s="3" t="s">
        <v>31</v>
      </c>
      <c r="G825" s="3" t="s">
        <v>39</v>
      </c>
      <c r="H825" s="3" t="s">
        <v>71</v>
      </c>
      <c r="I825" s="3">
        <v>634.69000000000005</v>
      </c>
      <c r="J825" s="3">
        <v>5</v>
      </c>
      <c r="K825" s="3">
        <v>-232.25649999999999</v>
      </c>
    </row>
    <row r="826" spans="1:11" ht="15.6" x14ac:dyDescent="0.3">
      <c r="A826" s="7">
        <v>42636</v>
      </c>
      <c r="B826" s="8">
        <f>YEAR(A826)</f>
        <v>2016</v>
      </c>
      <c r="C826" s="8">
        <f>MONTH(A826)</f>
        <v>9</v>
      </c>
      <c r="D826" s="3" t="s">
        <v>11</v>
      </c>
      <c r="E826" s="3" t="s">
        <v>21</v>
      </c>
      <c r="F826" s="3" t="s">
        <v>31</v>
      </c>
      <c r="G826" s="3" t="s">
        <v>38</v>
      </c>
      <c r="H826" s="3" t="s">
        <v>53</v>
      </c>
      <c r="I826" s="3">
        <v>57.4</v>
      </c>
      <c r="J826" s="3">
        <v>4</v>
      </c>
      <c r="K826" s="3">
        <v>-9.1705000000000005</v>
      </c>
    </row>
    <row r="827" spans="1:11" ht="15.6" x14ac:dyDescent="0.3">
      <c r="A827" s="7">
        <v>42638</v>
      </c>
      <c r="B827" s="8">
        <f>YEAR(A827)</f>
        <v>2016</v>
      </c>
      <c r="C827" s="8">
        <f>MONTH(A827)</f>
        <v>9</v>
      </c>
      <c r="D827" s="3" t="s">
        <v>18</v>
      </c>
      <c r="E827" s="3" t="s">
        <v>25</v>
      </c>
      <c r="F827" s="3" t="s">
        <v>31</v>
      </c>
      <c r="G827" s="3" t="s">
        <v>43</v>
      </c>
      <c r="H827" s="3" t="s">
        <v>62</v>
      </c>
      <c r="I827" s="3">
        <v>402.49</v>
      </c>
      <c r="J827" s="3">
        <v>3</v>
      </c>
      <c r="K827" s="3">
        <v>-66.386499999999998</v>
      </c>
    </row>
    <row r="828" spans="1:11" ht="15.6" x14ac:dyDescent="0.3">
      <c r="A828" s="7">
        <v>42638</v>
      </c>
      <c r="B828" s="8">
        <f>YEAR(A828)</f>
        <v>2016</v>
      </c>
      <c r="C828" s="8">
        <f>MONTH(A828)</f>
        <v>9</v>
      </c>
      <c r="D828" s="3" t="s">
        <v>12</v>
      </c>
      <c r="E828" s="3" t="s">
        <v>28</v>
      </c>
      <c r="F828" s="3" t="s">
        <v>31</v>
      </c>
      <c r="G828" s="3" t="s">
        <v>39</v>
      </c>
      <c r="H828" s="3" t="s">
        <v>54</v>
      </c>
      <c r="I828" s="3">
        <v>281.94</v>
      </c>
      <c r="J828" s="3">
        <v>5</v>
      </c>
      <c r="K828" s="3">
        <v>-34.6571</v>
      </c>
    </row>
    <row r="829" spans="1:11" ht="15.6" x14ac:dyDescent="0.3">
      <c r="A829" s="7">
        <v>42639</v>
      </c>
      <c r="B829" s="8">
        <f>YEAR(A829)</f>
        <v>2016</v>
      </c>
      <c r="C829" s="8">
        <f>MONTH(A829)</f>
        <v>9</v>
      </c>
      <c r="D829" s="3" t="s">
        <v>13</v>
      </c>
      <c r="E829" s="3" t="s">
        <v>21</v>
      </c>
      <c r="F829" s="3" t="s">
        <v>29</v>
      </c>
      <c r="G829" s="3" t="s">
        <v>40</v>
      </c>
      <c r="H829" s="3" t="s">
        <v>61</v>
      </c>
      <c r="I829" s="3">
        <v>267.20999999999998</v>
      </c>
      <c r="J829" s="3">
        <v>7</v>
      </c>
      <c r="K829" s="3">
        <v>-9.5577000000000005</v>
      </c>
    </row>
    <row r="830" spans="1:11" ht="15.6" x14ac:dyDescent="0.3">
      <c r="A830" s="7">
        <v>42643</v>
      </c>
      <c r="B830" s="8">
        <f>YEAR(A830)</f>
        <v>2016</v>
      </c>
      <c r="C830" s="8">
        <f>MONTH(A830)</f>
        <v>9</v>
      </c>
      <c r="D830" s="3" t="s">
        <v>11</v>
      </c>
      <c r="E830" s="3" t="s">
        <v>19</v>
      </c>
      <c r="F830" s="3" t="s">
        <v>30</v>
      </c>
      <c r="G830" s="3" t="s">
        <v>37</v>
      </c>
      <c r="H830" s="3" t="s">
        <v>51</v>
      </c>
      <c r="I830" s="3">
        <v>475.11</v>
      </c>
      <c r="J830" s="3">
        <v>3</v>
      </c>
      <c r="K830" s="3">
        <v>-183.4974</v>
      </c>
    </row>
    <row r="831" spans="1:11" ht="15.6" x14ac:dyDescent="0.3">
      <c r="A831" s="7">
        <v>42646</v>
      </c>
      <c r="B831" s="8">
        <f>YEAR(A831)</f>
        <v>2016</v>
      </c>
      <c r="C831" s="8">
        <f>MONTH(A831)</f>
        <v>10</v>
      </c>
      <c r="D831" s="3" t="s">
        <v>11</v>
      </c>
      <c r="E831" s="3" t="s">
        <v>27</v>
      </c>
      <c r="F831" s="3" t="s">
        <v>31</v>
      </c>
      <c r="G831" s="3" t="s">
        <v>34</v>
      </c>
      <c r="H831" s="3" t="s">
        <v>47</v>
      </c>
      <c r="I831" s="3">
        <v>1030.5899999999999</v>
      </c>
      <c r="J831" s="3">
        <v>2</v>
      </c>
      <c r="K831" s="3">
        <v>339.44799999999998</v>
      </c>
    </row>
    <row r="832" spans="1:11" ht="15.6" x14ac:dyDescent="0.3">
      <c r="A832" s="7">
        <v>42646</v>
      </c>
      <c r="B832" s="8">
        <f>YEAR(A832)</f>
        <v>2016</v>
      </c>
      <c r="C832" s="8">
        <f>MONTH(A832)</f>
        <v>10</v>
      </c>
      <c r="D832" s="3" t="s">
        <v>15</v>
      </c>
      <c r="E832" s="3" t="s">
        <v>22</v>
      </c>
      <c r="F832" s="3" t="s">
        <v>30</v>
      </c>
      <c r="G832" s="3" t="s">
        <v>37</v>
      </c>
      <c r="H832" s="3" t="s">
        <v>64</v>
      </c>
      <c r="I832" s="3">
        <v>567.95000000000005</v>
      </c>
      <c r="J832" s="3">
        <v>7</v>
      </c>
      <c r="K832" s="3">
        <v>167.47309999999999</v>
      </c>
    </row>
    <row r="833" spans="1:11" ht="15.6" x14ac:dyDescent="0.3">
      <c r="A833" s="7">
        <v>42646</v>
      </c>
      <c r="B833" s="8">
        <f>YEAR(A833)</f>
        <v>2016</v>
      </c>
      <c r="C833" s="8">
        <f>MONTH(A833)</f>
        <v>10</v>
      </c>
      <c r="D833" s="3" t="s">
        <v>10</v>
      </c>
      <c r="E833" s="3" t="s">
        <v>26</v>
      </c>
      <c r="F833" s="3" t="s">
        <v>31</v>
      </c>
      <c r="G833" s="3" t="s">
        <v>36</v>
      </c>
      <c r="H833" s="3" t="s">
        <v>70</v>
      </c>
      <c r="I833" s="3">
        <v>1035.06</v>
      </c>
      <c r="J833" s="3">
        <v>1</v>
      </c>
      <c r="K833" s="3">
        <v>-150.1174</v>
      </c>
    </row>
    <row r="834" spans="1:11" ht="15.6" x14ac:dyDescent="0.3">
      <c r="A834" s="7">
        <v>42647</v>
      </c>
      <c r="B834" s="8">
        <f>YEAR(A834)</f>
        <v>2016</v>
      </c>
      <c r="C834" s="8">
        <f>MONTH(A834)</f>
        <v>10</v>
      </c>
      <c r="D834" s="3" t="s">
        <v>16</v>
      </c>
      <c r="E834" s="3" t="s">
        <v>28</v>
      </c>
      <c r="F834" s="3" t="s">
        <v>30</v>
      </c>
      <c r="G834" s="3" t="s">
        <v>42</v>
      </c>
      <c r="H834" s="3" t="s">
        <v>67</v>
      </c>
      <c r="I834" s="3">
        <v>93.53</v>
      </c>
      <c r="J834" s="3">
        <v>1</v>
      </c>
      <c r="K834" s="3">
        <v>-26.768699999999999</v>
      </c>
    </row>
    <row r="835" spans="1:11" ht="15.6" x14ac:dyDescent="0.3">
      <c r="A835" s="7">
        <v>42647</v>
      </c>
      <c r="B835" s="8">
        <f>YEAR(A835)</f>
        <v>2016</v>
      </c>
      <c r="C835" s="8">
        <f>MONTH(A835)</f>
        <v>10</v>
      </c>
      <c r="D835" s="3" t="s">
        <v>9</v>
      </c>
      <c r="E835" s="3" t="s">
        <v>28</v>
      </c>
      <c r="F835" s="3" t="s">
        <v>30</v>
      </c>
      <c r="G835" s="3" t="s">
        <v>33</v>
      </c>
      <c r="H835" s="3" t="s">
        <v>45</v>
      </c>
      <c r="I835" s="3">
        <v>134.57</v>
      </c>
      <c r="J835" s="3">
        <v>9</v>
      </c>
      <c r="K835" s="3">
        <v>23.755700000000001</v>
      </c>
    </row>
    <row r="836" spans="1:11" ht="15.6" x14ac:dyDescent="0.3">
      <c r="A836" s="7">
        <v>42649</v>
      </c>
      <c r="B836" s="8">
        <f>YEAR(A836)</f>
        <v>2016</v>
      </c>
      <c r="C836" s="8">
        <f>MONTH(A836)</f>
        <v>10</v>
      </c>
      <c r="D836" s="3" t="s">
        <v>18</v>
      </c>
      <c r="E836" s="3" t="s">
        <v>24</v>
      </c>
      <c r="F836" s="3" t="s">
        <v>30</v>
      </c>
      <c r="G836" s="3" t="s">
        <v>42</v>
      </c>
      <c r="H836" s="3" t="s">
        <v>67</v>
      </c>
      <c r="I836" s="3">
        <v>1193.23</v>
      </c>
      <c r="J836" s="3">
        <v>2</v>
      </c>
      <c r="K836" s="3">
        <v>58.6693</v>
      </c>
    </row>
    <row r="837" spans="1:11" ht="15.6" x14ac:dyDescent="0.3">
      <c r="A837" s="7">
        <v>42651</v>
      </c>
      <c r="B837" s="8">
        <f>YEAR(A837)</f>
        <v>2016</v>
      </c>
      <c r="C837" s="8">
        <f>MONTH(A837)</f>
        <v>10</v>
      </c>
      <c r="D837" s="3" t="s">
        <v>18</v>
      </c>
      <c r="E837" s="3" t="s">
        <v>19</v>
      </c>
      <c r="F837" s="3" t="s">
        <v>31</v>
      </c>
      <c r="G837" s="3" t="s">
        <v>38</v>
      </c>
      <c r="H837" s="3" t="s">
        <v>53</v>
      </c>
      <c r="I837" s="3">
        <v>673.34</v>
      </c>
      <c r="J837" s="3">
        <v>8</v>
      </c>
      <c r="K837" s="3">
        <v>-155.9522</v>
      </c>
    </row>
    <row r="838" spans="1:11" ht="15.6" x14ac:dyDescent="0.3">
      <c r="A838" s="7">
        <v>42651</v>
      </c>
      <c r="B838" s="8">
        <f>YEAR(A838)</f>
        <v>2016</v>
      </c>
      <c r="C838" s="8">
        <f>MONTH(A838)</f>
        <v>10</v>
      </c>
      <c r="D838" s="3" t="s">
        <v>12</v>
      </c>
      <c r="E838" s="3" t="s">
        <v>26</v>
      </c>
      <c r="F838" s="3" t="s">
        <v>31</v>
      </c>
      <c r="G838" s="3" t="s">
        <v>39</v>
      </c>
      <c r="H838" s="3" t="s">
        <v>71</v>
      </c>
      <c r="I838" s="3">
        <v>367.86</v>
      </c>
      <c r="J838" s="3">
        <v>4</v>
      </c>
      <c r="K838" s="3">
        <v>6.4828000000000001</v>
      </c>
    </row>
    <row r="839" spans="1:11" ht="15.6" x14ac:dyDescent="0.3">
      <c r="A839" s="7">
        <v>42651</v>
      </c>
      <c r="B839" s="8">
        <f>YEAR(A839)</f>
        <v>2016</v>
      </c>
      <c r="C839" s="8">
        <f>MONTH(A839)</f>
        <v>10</v>
      </c>
      <c r="D839" s="3" t="s">
        <v>17</v>
      </c>
      <c r="E839" s="3" t="s">
        <v>23</v>
      </c>
      <c r="F839" s="3" t="s">
        <v>29</v>
      </c>
      <c r="G839" s="3" t="s">
        <v>41</v>
      </c>
      <c r="H839" s="3" t="s">
        <v>57</v>
      </c>
      <c r="I839" s="3">
        <v>1160.92</v>
      </c>
      <c r="J839" s="3">
        <v>1</v>
      </c>
      <c r="K839" s="3">
        <v>-219.9162</v>
      </c>
    </row>
    <row r="840" spans="1:11" ht="15.6" x14ac:dyDescent="0.3">
      <c r="A840" s="7">
        <v>42652</v>
      </c>
      <c r="B840" s="8">
        <f>YEAR(A840)</f>
        <v>2016</v>
      </c>
      <c r="C840" s="8">
        <f>MONTH(A840)</f>
        <v>10</v>
      </c>
      <c r="D840" s="3" t="s">
        <v>17</v>
      </c>
      <c r="E840" s="3" t="s">
        <v>20</v>
      </c>
      <c r="F840" s="3" t="s">
        <v>30</v>
      </c>
      <c r="G840" s="3" t="s">
        <v>33</v>
      </c>
      <c r="H840" s="3" t="s">
        <v>55</v>
      </c>
      <c r="I840" s="3">
        <v>146.62</v>
      </c>
      <c r="J840" s="3">
        <v>4</v>
      </c>
      <c r="K840" s="3">
        <v>-37.694800000000001</v>
      </c>
    </row>
    <row r="841" spans="1:11" ht="15.6" x14ac:dyDescent="0.3">
      <c r="A841" s="7">
        <v>42653</v>
      </c>
      <c r="B841" s="8">
        <f>YEAR(A841)</f>
        <v>2016</v>
      </c>
      <c r="C841" s="8">
        <f>MONTH(A841)</f>
        <v>10</v>
      </c>
      <c r="D841" s="3" t="s">
        <v>15</v>
      </c>
      <c r="E841" s="3" t="s">
        <v>21</v>
      </c>
      <c r="F841" s="3" t="s">
        <v>29</v>
      </c>
      <c r="G841" s="3" t="s">
        <v>32</v>
      </c>
      <c r="H841" s="3" t="s">
        <v>48</v>
      </c>
      <c r="I841" s="3">
        <v>571.14</v>
      </c>
      <c r="J841" s="3">
        <v>10</v>
      </c>
      <c r="K841" s="3">
        <v>-56.7087</v>
      </c>
    </row>
    <row r="842" spans="1:11" ht="15.6" x14ac:dyDescent="0.3">
      <c r="A842" s="7">
        <v>42654</v>
      </c>
      <c r="B842" s="8">
        <f>YEAR(A842)</f>
        <v>2016</v>
      </c>
      <c r="C842" s="8">
        <f>MONTH(A842)</f>
        <v>10</v>
      </c>
      <c r="D842" s="3" t="s">
        <v>12</v>
      </c>
      <c r="E842" s="3" t="s">
        <v>22</v>
      </c>
      <c r="F842" s="3" t="s">
        <v>30</v>
      </c>
      <c r="G842" s="3" t="s">
        <v>42</v>
      </c>
      <c r="H842" s="3" t="s">
        <v>67</v>
      </c>
      <c r="I842" s="3">
        <v>227.64</v>
      </c>
      <c r="J842" s="3">
        <v>5</v>
      </c>
      <c r="K842" s="3">
        <v>58.630400000000002</v>
      </c>
    </row>
    <row r="843" spans="1:11" ht="15.6" x14ac:dyDescent="0.3">
      <c r="A843" s="7">
        <v>42654</v>
      </c>
      <c r="B843" s="8">
        <f>YEAR(A843)</f>
        <v>2016</v>
      </c>
      <c r="C843" s="8">
        <f>MONTH(A843)</f>
        <v>10</v>
      </c>
      <c r="D843" s="3" t="s">
        <v>10</v>
      </c>
      <c r="E843" s="3" t="s">
        <v>22</v>
      </c>
      <c r="F843" s="3" t="s">
        <v>31</v>
      </c>
      <c r="G843" s="3" t="s">
        <v>39</v>
      </c>
      <c r="H843" s="3" t="s">
        <v>71</v>
      </c>
      <c r="I843" s="3">
        <v>292.41000000000003</v>
      </c>
      <c r="J843" s="3">
        <v>9</v>
      </c>
      <c r="K843" s="3">
        <v>48.191800000000001</v>
      </c>
    </row>
    <row r="844" spans="1:11" ht="15.6" x14ac:dyDescent="0.3">
      <c r="A844" s="7">
        <v>42654</v>
      </c>
      <c r="B844" s="8">
        <f>YEAR(A844)</f>
        <v>2016</v>
      </c>
      <c r="C844" s="8">
        <f>MONTH(A844)</f>
        <v>10</v>
      </c>
      <c r="D844" s="3" t="s">
        <v>10</v>
      </c>
      <c r="E844" s="3" t="s">
        <v>27</v>
      </c>
      <c r="F844" s="3" t="s">
        <v>31</v>
      </c>
      <c r="G844" s="3" t="s">
        <v>43</v>
      </c>
      <c r="H844" s="3" t="s">
        <v>62</v>
      </c>
      <c r="I844" s="3">
        <v>635.1</v>
      </c>
      <c r="J844" s="3">
        <v>9</v>
      </c>
      <c r="K844" s="3">
        <v>-214.0429</v>
      </c>
    </row>
    <row r="845" spans="1:11" ht="15.6" x14ac:dyDescent="0.3">
      <c r="A845" s="7">
        <v>42656</v>
      </c>
      <c r="B845" s="8">
        <f>YEAR(A845)</f>
        <v>2016</v>
      </c>
      <c r="C845" s="8">
        <f>MONTH(A845)</f>
        <v>10</v>
      </c>
      <c r="D845" s="3" t="s">
        <v>13</v>
      </c>
      <c r="E845" s="3" t="s">
        <v>28</v>
      </c>
      <c r="F845" s="3" t="s">
        <v>31</v>
      </c>
      <c r="G845" s="3" t="s">
        <v>34</v>
      </c>
      <c r="H845" s="3" t="s">
        <v>46</v>
      </c>
      <c r="I845" s="3">
        <v>832.02</v>
      </c>
      <c r="J845" s="3">
        <v>6</v>
      </c>
      <c r="K845" s="3">
        <v>243.97559999999999</v>
      </c>
    </row>
    <row r="846" spans="1:11" ht="15.6" x14ac:dyDescent="0.3">
      <c r="A846" s="7">
        <v>42657</v>
      </c>
      <c r="B846" s="8">
        <f>YEAR(A846)</f>
        <v>2016</v>
      </c>
      <c r="C846" s="8">
        <f>MONTH(A846)</f>
        <v>10</v>
      </c>
      <c r="D846" s="3" t="s">
        <v>13</v>
      </c>
      <c r="E846" s="3" t="s">
        <v>23</v>
      </c>
      <c r="F846" s="3" t="s">
        <v>30</v>
      </c>
      <c r="G846" s="3" t="s">
        <v>42</v>
      </c>
      <c r="H846" s="3" t="s">
        <v>58</v>
      </c>
      <c r="I846" s="3">
        <v>1000.24</v>
      </c>
      <c r="J846" s="3">
        <v>5</v>
      </c>
      <c r="K846" s="3">
        <v>181.8494</v>
      </c>
    </row>
    <row r="847" spans="1:11" ht="15.6" x14ac:dyDescent="0.3">
      <c r="A847" s="7">
        <v>42657</v>
      </c>
      <c r="B847" s="8">
        <f>YEAR(A847)</f>
        <v>2016</v>
      </c>
      <c r="C847" s="8">
        <f>MONTH(A847)</f>
        <v>10</v>
      </c>
      <c r="D847" s="3" t="s">
        <v>15</v>
      </c>
      <c r="E847" s="3" t="s">
        <v>19</v>
      </c>
      <c r="F847" s="3" t="s">
        <v>31</v>
      </c>
      <c r="G847" s="3" t="s">
        <v>36</v>
      </c>
      <c r="H847" s="3" t="s">
        <v>70</v>
      </c>
      <c r="I847" s="3">
        <v>1053.07</v>
      </c>
      <c r="J847" s="3">
        <v>6</v>
      </c>
      <c r="K847" s="3">
        <v>-64.311300000000003</v>
      </c>
    </row>
    <row r="848" spans="1:11" ht="15.6" x14ac:dyDescent="0.3">
      <c r="A848" s="7">
        <v>42659</v>
      </c>
      <c r="B848" s="8">
        <f>YEAR(A848)</f>
        <v>2016</v>
      </c>
      <c r="C848" s="8">
        <f>MONTH(A848)</f>
        <v>10</v>
      </c>
      <c r="D848" s="3" t="s">
        <v>9</v>
      </c>
      <c r="E848" s="3" t="s">
        <v>26</v>
      </c>
      <c r="F848" s="3" t="s">
        <v>31</v>
      </c>
      <c r="G848" s="3" t="s">
        <v>38</v>
      </c>
      <c r="H848" s="3" t="s">
        <v>63</v>
      </c>
      <c r="I848" s="3">
        <v>1095.83</v>
      </c>
      <c r="J848" s="3">
        <v>3</v>
      </c>
      <c r="K848" s="3">
        <v>-247.5027</v>
      </c>
    </row>
    <row r="849" spans="1:11" ht="15.6" x14ac:dyDescent="0.3">
      <c r="A849" s="7">
        <v>42659</v>
      </c>
      <c r="B849" s="8">
        <f>YEAR(A849)</f>
        <v>2016</v>
      </c>
      <c r="C849" s="8">
        <f>MONTH(A849)</f>
        <v>10</v>
      </c>
      <c r="D849" s="3" t="s">
        <v>17</v>
      </c>
      <c r="E849" s="3" t="s">
        <v>20</v>
      </c>
      <c r="F849" s="3" t="s">
        <v>31</v>
      </c>
      <c r="G849" s="3" t="s">
        <v>39</v>
      </c>
      <c r="H849" s="3" t="s">
        <v>54</v>
      </c>
      <c r="I849" s="3">
        <v>242.38</v>
      </c>
      <c r="J849" s="3">
        <v>4</v>
      </c>
      <c r="K849" s="3">
        <v>44.469299999999997</v>
      </c>
    </row>
    <row r="850" spans="1:11" ht="15.6" x14ac:dyDescent="0.3">
      <c r="A850" s="7">
        <v>42660</v>
      </c>
      <c r="B850" s="8">
        <f>YEAR(A850)</f>
        <v>2016</v>
      </c>
      <c r="C850" s="8">
        <f>MONTH(A850)</f>
        <v>10</v>
      </c>
      <c r="D850" s="3" t="s">
        <v>12</v>
      </c>
      <c r="E850" s="3" t="s">
        <v>19</v>
      </c>
      <c r="F850" s="3" t="s">
        <v>30</v>
      </c>
      <c r="G850" s="3" t="s">
        <v>42</v>
      </c>
      <c r="H850" s="3" t="s">
        <v>69</v>
      </c>
      <c r="I850" s="3">
        <v>815.34</v>
      </c>
      <c r="J850" s="3">
        <v>3</v>
      </c>
      <c r="K850" s="3">
        <v>-92.153999999999996</v>
      </c>
    </row>
    <row r="851" spans="1:11" ht="15.6" x14ac:dyDescent="0.3">
      <c r="A851" s="7">
        <v>42661</v>
      </c>
      <c r="B851" s="8">
        <f>YEAR(A851)</f>
        <v>2016</v>
      </c>
      <c r="C851" s="8">
        <f>MONTH(A851)</f>
        <v>10</v>
      </c>
      <c r="D851" s="3" t="s">
        <v>17</v>
      </c>
      <c r="E851" s="3" t="s">
        <v>20</v>
      </c>
      <c r="F851" s="3" t="s">
        <v>31</v>
      </c>
      <c r="G851" s="3" t="s">
        <v>36</v>
      </c>
      <c r="H851" s="3" t="s">
        <v>70</v>
      </c>
      <c r="I851" s="3">
        <v>10.18</v>
      </c>
      <c r="J851" s="3">
        <v>1</v>
      </c>
      <c r="K851" s="3">
        <v>0.15190000000000001</v>
      </c>
    </row>
    <row r="852" spans="1:11" ht="15.6" x14ac:dyDescent="0.3">
      <c r="A852" s="7">
        <v>42661</v>
      </c>
      <c r="B852" s="8">
        <f>YEAR(A852)</f>
        <v>2016</v>
      </c>
      <c r="C852" s="8">
        <f>MONTH(A852)</f>
        <v>10</v>
      </c>
      <c r="D852" s="3" t="s">
        <v>10</v>
      </c>
      <c r="E852" s="3" t="s">
        <v>22</v>
      </c>
      <c r="F852" s="3" t="s">
        <v>29</v>
      </c>
      <c r="G852" s="3" t="s">
        <v>40</v>
      </c>
      <c r="H852" s="3" t="s">
        <v>56</v>
      </c>
      <c r="I852" s="3">
        <v>625.08000000000004</v>
      </c>
      <c r="J852" s="3">
        <v>3</v>
      </c>
      <c r="K852" s="3">
        <v>-99.158100000000005</v>
      </c>
    </row>
    <row r="853" spans="1:11" ht="15.6" x14ac:dyDescent="0.3">
      <c r="A853" s="7">
        <v>42662</v>
      </c>
      <c r="B853" s="8">
        <f>YEAR(A853)</f>
        <v>2016</v>
      </c>
      <c r="C853" s="8">
        <f>MONTH(A853)</f>
        <v>10</v>
      </c>
      <c r="D853" s="3" t="s">
        <v>14</v>
      </c>
      <c r="E853" s="3" t="s">
        <v>28</v>
      </c>
      <c r="F853" s="3" t="s">
        <v>31</v>
      </c>
      <c r="G853" s="3" t="s">
        <v>39</v>
      </c>
      <c r="H853" s="3" t="s">
        <v>71</v>
      </c>
      <c r="I853" s="3">
        <v>171.32</v>
      </c>
      <c r="J853" s="3">
        <v>5</v>
      </c>
      <c r="K853" s="3">
        <v>-37.430700000000002</v>
      </c>
    </row>
    <row r="854" spans="1:11" ht="15.6" x14ac:dyDescent="0.3">
      <c r="A854" s="7">
        <v>42662</v>
      </c>
      <c r="B854" s="8">
        <f>YEAR(A854)</f>
        <v>2016</v>
      </c>
      <c r="C854" s="8">
        <f>MONTH(A854)</f>
        <v>10</v>
      </c>
      <c r="D854" s="3" t="s">
        <v>10</v>
      </c>
      <c r="E854" s="3" t="s">
        <v>25</v>
      </c>
      <c r="F854" s="3" t="s">
        <v>30</v>
      </c>
      <c r="G854" s="3" t="s">
        <v>35</v>
      </c>
      <c r="H854" s="3" t="s">
        <v>59</v>
      </c>
      <c r="I854" s="3">
        <v>259.48</v>
      </c>
      <c r="J854" s="3">
        <v>8</v>
      </c>
      <c r="K854" s="3">
        <v>-51.649000000000001</v>
      </c>
    </row>
    <row r="855" spans="1:11" ht="15.6" x14ac:dyDescent="0.3">
      <c r="A855" s="7">
        <v>42663</v>
      </c>
      <c r="B855" s="8">
        <f>YEAR(A855)</f>
        <v>2016</v>
      </c>
      <c r="C855" s="8">
        <f>MONTH(A855)</f>
        <v>10</v>
      </c>
      <c r="D855" s="3" t="s">
        <v>14</v>
      </c>
      <c r="E855" s="3" t="s">
        <v>28</v>
      </c>
      <c r="F855" s="3" t="s">
        <v>31</v>
      </c>
      <c r="G855" s="3" t="s">
        <v>39</v>
      </c>
      <c r="H855" s="3" t="s">
        <v>54</v>
      </c>
      <c r="I855" s="3">
        <v>767.51</v>
      </c>
      <c r="J855" s="3">
        <v>2</v>
      </c>
      <c r="K855" s="3">
        <v>-2.9051</v>
      </c>
    </row>
    <row r="856" spans="1:11" ht="15.6" x14ac:dyDescent="0.3">
      <c r="A856" s="7">
        <v>42663</v>
      </c>
      <c r="B856" s="8">
        <f>YEAR(A856)</f>
        <v>2016</v>
      </c>
      <c r="C856" s="8">
        <f>MONTH(A856)</f>
        <v>10</v>
      </c>
      <c r="D856" s="3" t="s">
        <v>12</v>
      </c>
      <c r="E856" s="3" t="s">
        <v>27</v>
      </c>
      <c r="F856" s="3" t="s">
        <v>30</v>
      </c>
      <c r="G856" s="3" t="s">
        <v>35</v>
      </c>
      <c r="H856" s="3" t="s">
        <v>49</v>
      </c>
      <c r="I856" s="3">
        <v>114.22</v>
      </c>
      <c r="J856" s="3">
        <v>10</v>
      </c>
      <c r="K856" s="3">
        <v>-16.697099999999999</v>
      </c>
    </row>
    <row r="857" spans="1:11" ht="15.6" x14ac:dyDescent="0.3">
      <c r="A857" s="7">
        <v>42664</v>
      </c>
      <c r="B857" s="8">
        <f>YEAR(A857)</f>
        <v>2016</v>
      </c>
      <c r="C857" s="8">
        <f>MONTH(A857)</f>
        <v>10</v>
      </c>
      <c r="D857" s="3" t="s">
        <v>9</v>
      </c>
      <c r="E857" s="3" t="s">
        <v>28</v>
      </c>
      <c r="F857" s="3" t="s">
        <v>29</v>
      </c>
      <c r="G857" s="3" t="s">
        <v>41</v>
      </c>
      <c r="H857" s="3" t="s">
        <v>65</v>
      </c>
      <c r="I857" s="3">
        <v>189.12</v>
      </c>
      <c r="J857" s="3">
        <v>6</v>
      </c>
      <c r="K857" s="3">
        <v>55.360599999999998</v>
      </c>
    </row>
    <row r="858" spans="1:11" ht="15.6" x14ac:dyDescent="0.3">
      <c r="A858" s="7">
        <v>42666</v>
      </c>
      <c r="B858" s="8">
        <f>YEAR(A858)</f>
        <v>2016</v>
      </c>
      <c r="C858" s="8">
        <f>MONTH(A858)</f>
        <v>10</v>
      </c>
      <c r="D858" s="3" t="s">
        <v>17</v>
      </c>
      <c r="E858" s="3" t="s">
        <v>24</v>
      </c>
      <c r="F858" s="3" t="s">
        <v>31</v>
      </c>
      <c r="G858" s="3" t="s">
        <v>38</v>
      </c>
      <c r="H858" s="3" t="s">
        <v>53</v>
      </c>
      <c r="I858" s="3">
        <v>185.28</v>
      </c>
      <c r="J858" s="3">
        <v>1</v>
      </c>
      <c r="K858" s="3">
        <v>-11.507300000000001</v>
      </c>
    </row>
    <row r="859" spans="1:11" ht="15.6" x14ac:dyDescent="0.3">
      <c r="A859" s="7">
        <v>42666</v>
      </c>
      <c r="B859" s="8">
        <f>YEAR(A859)</f>
        <v>2016</v>
      </c>
      <c r="C859" s="8">
        <f>MONTH(A859)</f>
        <v>10</v>
      </c>
      <c r="D859" s="3" t="s">
        <v>15</v>
      </c>
      <c r="E859" s="3" t="s">
        <v>27</v>
      </c>
      <c r="F859" s="3" t="s">
        <v>29</v>
      </c>
      <c r="G859" s="3" t="s">
        <v>32</v>
      </c>
      <c r="H859" s="3" t="s">
        <v>44</v>
      </c>
      <c r="I859" s="3">
        <v>334.67</v>
      </c>
      <c r="J859" s="3">
        <v>1</v>
      </c>
      <c r="K859" s="3">
        <v>23.2074</v>
      </c>
    </row>
    <row r="860" spans="1:11" ht="15.6" x14ac:dyDescent="0.3">
      <c r="A860" s="7">
        <v>42667</v>
      </c>
      <c r="B860" s="8">
        <f>YEAR(A860)</f>
        <v>2016</v>
      </c>
      <c r="C860" s="8">
        <f>MONTH(A860)</f>
        <v>10</v>
      </c>
      <c r="D860" s="3" t="s">
        <v>15</v>
      </c>
      <c r="E860" s="3" t="s">
        <v>27</v>
      </c>
      <c r="F860" s="3" t="s">
        <v>31</v>
      </c>
      <c r="G860" s="3" t="s">
        <v>36</v>
      </c>
      <c r="H860" s="3" t="s">
        <v>70</v>
      </c>
      <c r="I860" s="3">
        <v>1059.03</v>
      </c>
      <c r="J860" s="3">
        <v>8</v>
      </c>
      <c r="K860" s="3">
        <v>-292.07580000000002</v>
      </c>
    </row>
    <row r="861" spans="1:11" ht="15.6" x14ac:dyDescent="0.3">
      <c r="A861" s="7">
        <v>42668</v>
      </c>
      <c r="B861" s="8">
        <f>YEAR(A861)</f>
        <v>2016</v>
      </c>
      <c r="C861" s="8">
        <f>MONTH(A861)</f>
        <v>10</v>
      </c>
      <c r="D861" s="3" t="s">
        <v>10</v>
      </c>
      <c r="E861" s="3" t="s">
        <v>23</v>
      </c>
      <c r="F861" s="3" t="s">
        <v>29</v>
      </c>
      <c r="G861" s="3" t="s">
        <v>32</v>
      </c>
      <c r="H861" s="3" t="s">
        <v>44</v>
      </c>
      <c r="I861" s="3">
        <v>976.72</v>
      </c>
      <c r="J861" s="3">
        <v>7</v>
      </c>
      <c r="K861" s="3">
        <v>199.8621</v>
      </c>
    </row>
    <row r="862" spans="1:11" ht="15.6" x14ac:dyDescent="0.3">
      <c r="A862" s="7">
        <v>42668</v>
      </c>
      <c r="B862" s="8">
        <f>YEAR(A862)</f>
        <v>2016</v>
      </c>
      <c r="C862" s="8">
        <f>MONTH(A862)</f>
        <v>10</v>
      </c>
      <c r="D862" s="3" t="s">
        <v>15</v>
      </c>
      <c r="E862" s="3" t="s">
        <v>23</v>
      </c>
      <c r="F862" s="3" t="s">
        <v>30</v>
      </c>
      <c r="G862" s="3" t="s">
        <v>37</v>
      </c>
      <c r="H862" s="3" t="s">
        <v>64</v>
      </c>
      <c r="I862" s="3">
        <v>809.62</v>
      </c>
      <c r="J862" s="3">
        <v>1</v>
      </c>
      <c r="K862" s="3">
        <v>-214.94739999999999</v>
      </c>
    </row>
    <row r="863" spans="1:11" ht="15.6" x14ac:dyDescent="0.3">
      <c r="A863" s="7">
        <v>42668</v>
      </c>
      <c r="B863" s="8">
        <f>YEAR(A863)</f>
        <v>2016</v>
      </c>
      <c r="C863" s="8">
        <f>MONTH(A863)</f>
        <v>10</v>
      </c>
      <c r="D863" s="3" t="s">
        <v>11</v>
      </c>
      <c r="E863" s="3" t="s">
        <v>27</v>
      </c>
      <c r="F863" s="3" t="s">
        <v>30</v>
      </c>
      <c r="G863" s="3" t="s">
        <v>33</v>
      </c>
      <c r="H863" s="3" t="s">
        <v>45</v>
      </c>
      <c r="I863" s="3">
        <v>1016.14</v>
      </c>
      <c r="J863" s="3">
        <v>8</v>
      </c>
      <c r="K863" s="3">
        <v>136.1773</v>
      </c>
    </row>
    <row r="864" spans="1:11" ht="15.6" x14ac:dyDescent="0.3">
      <c r="A864" s="7">
        <v>42669</v>
      </c>
      <c r="B864" s="8">
        <f>YEAR(A864)</f>
        <v>2016</v>
      </c>
      <c r="C864" s="8">
        <f>MONTH(A864)</f>
        <v>10</v>
      </c>
      <c r="D864" s="3" t="s">
        <v>9</v>
      </c>
      <c r="E864" s="3" t="s">
        <v>28</v>
      </c>
      <c r="F864" s="3" t="s">
        <v>31</v>
      </c>
      <c r="G864" s="3" t="s">
        <v>43</v>
      </c>
      <c r="H864" s="3" t="s">
        <v>68</v>
      </c>
      <c r="I864" s="3">
        <v>1108.1099999999999</v>
      </c>
      <c r="J864" s="3">
        <v>5</v>
      </c>
      <c r="K864" s="3">
        <v>130.4443</v>
      </c>
    </row>
    <row r="865" spans="1:11" ht="15.6" x14ac:dyDescent="0.3">
      <c r="A865" s="7">
        <v>42669</v>
      </c>
      <c r="B865" s="8">
        <f>YEAR(A865)</f>
        <v>2016</v>
      </c>
      <c r="C865" s="8">
        <f>MONTH(A865)</f>
        <v>10</v>
      </c>
      <c r="D865" s="3" t="s">
        <v>11</v>
      </c>
      <c r="E865" s="3" t="s">
        <v>26</v>
      </c>
      <c r="F865" s="3" t="s">
        <v>29</v>
      </c>
      <c r="G865" s="3" t="s">
        <v>41</v>
      </c>
      <c r="H865" s="3" t="s">
        <v>65</v>
      </c>
      <c r="I865" s="3">
        <v>1076.75</v>
      </c>
      <c r="J865" s="3">
        <v>2</v>
      </c>
      <c r="K865" s="3">
        <v>100.88160000000001</v>
      </c>
    </row>
    <row r="866" spans="1:11" ht="15.6" x14ac:dyDescent="0.3">
      <c r="A866" s="7">
        <v>42673</v>
      </c>
      <c r="B866" s="8">
        <f>YEAR(A866)</f>
        <v>2016</v>
      </c>
      <c r="C866" s="8">
        <f>MONTH(A866)</f>
        <v>10</v>
      </c>
      <c r="D866" s="3" t="s">
        <v>14</v>
      </c>
      <c r="E866" s="3" t="s">
        <v>25</v>
      </c>
      <c r="F866" s="3" t="s">
        <v>30</v>
      </c>
      <c r="G866" s="3" t="s">
        <v>42</v>
      </c>
      <c r="H866" s="3" t="s">
        <v>58</v>
      </c>
      <c r="I866" s="3">
        <v>206.94</v>
      </c>
      <c r="J866" s="3">
        <v>6</v>
      </c>
      <c r="K866" s="3">
        <v>27.591799999999999</v>
      </c>
    </row>
    <row r="867" spans="1:11" ht="15.6" x14ac:dyDescent="0.3">
      <c r="A867" s="7">
        <v>42673</v>
      </c>
      <c r="B867" s="8">
        <f>YEAR(A867)</f>
        <v>2016</v>
      </c>
      <c r="C867" s="8">
        <f>MONTH(A867)</f>
        <v>10</v>
      </c>
      <c r="D867" s="3" t="s">
        <v>18</v>
      </c>
      <c r="E867" s="3" t="s">
        <v>24</v>
      </c>
      <c r="F867" s="3" t="s">
        <v>31</v>
      </c>
      <c r="G867" s="3" t="s">
        <v>36</v>
      </c>
      <c r="H867" s="3" t="s">
        <v>50</v>
      </c>
      <c r="I867" s="3">
        <v>317.69</v>
      </c>
      <c r="J867" s="3">
        <v>6</v>
      </c>
      <c r="K867" s="3">
        <v>65.797200000000004</v>
      </c>
    </row>
    <row r="868" spans="1:11" ht="15.6" x14ac:dyDescent="0.3">
      <c r="A868" s="7">
        <v>42675</v>
      </c>
      <c r="B868" s="8">
        <f>YEAR(A868)</f>
        <v>2016</v>
      </c>
      <c r="C868" s="8">
        <f>MONTH(A868)</f>
        <v>11</v>
      </c>
      <c r="D868" s="3" t="s">
        <v>18</v>
      </c>
      <c r="E868" s="3" t="s">
        <v>25</v>
      </c>
      <c r="F868" s="3" t="s">
        <v>30</v>
      </c>
      <c r="G868" s="3" t="s">
        <v>33</v>
      </c>
      <c r="H868" s="3" t="s">
        <v>60</v>
      </c>
      <c r="I868" s="3">
        <v>785.42</v>
      </c>
      <c r="J868" s="3">
        <v>7</v>
      </c>
      <c r="K868" s="3">
        <v>89.162800000000004</v>
      </c>
    </row>
    <row r="869" spans="1:11" ht="15.6" x14ac:dyDescent="0.3">
      <c r="A869" s="7">
        <v>42675</v>
      </c>
      <c r="B869" s="8">
        <f>YEAR(A869)</f>
        <v>2016</v>
      </c>
      <c r="C869" s="8">
        <f>MONTH(A869)</f>
        <v>11</v>
      </c>
      <c r="D869" s="3" t="s">
        <v>15</v>
      </c>
      <c r="E869" s="3" t="s">
        <v>28</v>
      </c>
      <c r="F869" s="3" t="s">
        <v>29</v>
      </c>
      <c r="G869" s="3" t="s">
        <v>41</v>
      </c>
      <c r="H869" s="3" t="s">
        <v>57</v>
      </c>
      <c r="I869" s="3">
        <v>164.55</v>
      </c>
      <c r="J869" s="3">
        <v>7</v>
      </c>
      <c r="K869" s="3">
        <v>-56.585000000000001</v>
      </c>
    </row>
    <row r="870" spans="1:11" ht="15.6" x14ac:dyDescent="0.3">
      <c r="A870" s="7">
        <v>42679</v>
      </c>
      <c r="B870" s="8">
        <f>YEAR(A870)</f>
        <v>2016</v>
      </c>
      <c r="C870" s="8">
        <f>MONTH(A870)</f>
        <v>11</v>
      </c>
      <c r="D870" s="3" t="s">
        <v>12</v>
      </c>
      <c r="E870" s="3" t="s">
        <v>20</v>
      </c>
      <c r="F870" s="3" t="s">
        <v>31</v>
      </c>
      <c r="G870" s="3" t="s">
        <v>36</v>
      </c>
      <c r="H870" s="3" t="s">
        <v>50</v>
      </c>
      <c r="I870" s="3">
        <v>324.27</v>
      </c>
      <c r="J870" s="3">
        <v>1</v>
      </c>
      <c r="K870" s="3">
        <v>-60.920900000000003</v>
      </c>
    </row>
    <row r="871" spans="1:11" ht="15.6" x14ac:dyDescent="0.3">
      <c r="A871" s="7">
        <v>42680</v>
      </c>
      <c r="B871" s="8">
        <f>YEAR(A871)</f>
        <v>2016</v>
      </c>
      <c r="C871" s="8">
        <f>MONTH(A871)</f>
        <v>11</v>
      </c>
      <c r="D871" s="3" t="s">
        <v>12</v>
      </c>
      <c r="E871" s="3" t="s">
        <v>23</v>
      </c>
      <c r="F871" s="3" t="s">
        <v>31</v>
      </c>
      <c r="G871" s="3" t="s">
        <v>38</v>
      </c>
      <c r="H871" s="3" t="s">
        <v>63</v>
      </c>
      <c r="I871" s="3">
        <v>128</v>
      </c>
      <c r="J871" s="3">
        <v>2</v>
      </c>
      <c r="K871" s="3">
        <v>-19.916499999999999</v>
      </c>
    </row>
    <row r="872" spans="1:11" ht="15.6" x14ac:dyDescent="0.3">
      <c r="A872" s="7">
        <v>42681</v>
      </c>
      <c r="B872" s="8">
        <f>YEAR(A872)</f>
        <v>2016</v>
      </c>
      <c r="C872" s="8">
        <f>MONTH(A872)</f>
        <v>11</v>
      </c>
      <c r="D872" s="3" t="s">
        <v>9</v>
      </c>
      <c r="E872" s="3" t="s">
        <v>24</v>
      </c>
      <c r="F872" s="3" t="s">
        <v>31</v>
      </c>
      <c r="G872" s="3" t="s">
        <v>43</v>
      </c>
      <c r="H872" s="3" t="s">
        <v>62</v>
      </c>
      <c r="I872" s="3">
        <v>987.97</v>
      </c>
      <c r="J872" s="3">
        <v>10</v>
      </c>
      <c r="K872" s="3">
        <v>264.94479999999999</v>
      </c>
    </row>
    <row r="873" spans="1:11" ht="15.6" x14ac:dyDescent="0.3">
      <c r="A873" s="7">
        <v>42683</v>
      </c>
      <c r="B873" s="8">
        <f>YEAR(A873)</f>
        <v>2016</v>
      </c>
      <c r="C873" s="8">
        <f>MONTH(A873)</f>
        <v>11</v>
      </c>
      <c r="D873" s="3" t="s">
        <v>17</v>
      </c>
      <c r="E873" s="3" t="s">
        <v>23</v>
      </c>
      <c r="F873" s="3" t="s">
        <v>29</v>
      </c>
      <c r="G873" s="3" t="s">
        <v>32</v>
      </c>
      <c r="H873" s="3" t="s">
        <v>48</v>
      </c>
      <c r="I873" s="3">
        <v>641.15</v>
      </c>
      <c r="J873" s="3">
        <v>10</v>
      </c>
      <c r="K873" s="3">
        <v>-112.30200000000001</v>
      </c>
    </row>
    <row r="874" spans="1:11" ht="15.6" x14ac:dyDescent="0.3">
      <c r="A874" s="7">
        <v>42685</v>
      </c>
      <c r="B874" s="8">
        <f>YEAR(A874)</f>
        <v>2016</v>
      </c>
      <c r="C874" s="8">
        <f>MONTH(A874)</f>
        <v>11</v>
      </c>
      <c r="D874" s="3" t="s">
        <v>13</v>
      </c>
      <c r="E874" s="3" t="s">
        <v>27</v>
      </c>
      <c r="F874" s="3" t="s">
        <v>30</v>
      </c>
      <c r="G874" s="3" t="s">
        <v>42</v>
      </c>
      <c r="H874" s="3" t="s">
        <v>58</v>
      </c>
      <c r="I874" s="3">
        <v>488.02</v>
      </c>
      <c r="J874" s="3">
        <v>3</v>
      </c>
      <c r="K874" s="3">
        <v>116.82170000000001</v>
      </c>
    </row>
    <row r="875" spans="1:11" ht="15.6" x14ac:dyDescent="0.3">
      <c r="A875" s="7">
        <v>42686</v>
      </c>
      <c r="B875" s="8">
        <f>YEAR(A875)</f>
        <v>2016</v>
      </c>
      <c r="C875" s="8">
        <f>MONTH(A875)</f>
        <v>11</v>
      </c>
      <c r="D875" s="3" t="s">
        <v>16</v>
      </c>
      <c r="E875" s="3" t="s">
        <v>20</v>
      </c>
      <c r="F875" s="3" t="s">
        <v>30</v>
      </c>
      <c r="G875" s="3" t="s">
        <v>37</v>
      </c>
      <c r="H875" s="3" t="s">
        <v>64</v>
      </c>
      <c r="I875" s="3">
        <v>469.21</v>
      </c>
      <c r="J875" s="3">
        <v>10</v>
      </c>
      <c r="K875" s="3">
        <v>-139.16749999999999</v>
      </c>
    </row>
    <row r="876" spans="1:11" ht="15.6" x14ac:dyDescent="0.3">
      <c r="A876" s="7">
        <v>42687</v>
      </c>
      <c r="B876" s="8">
        <f>YEAR(A876)</f>
        <v>2016</v>
      </c>
      <c r="C876" s="8">
        <f>MONTH(A876)</f>
        <v>11</v>
      </c>
      <c r="D876" s="3" t="s">
        <v>17</v>
      </c>
      <c r="E876" s="3" t="s">
        <v>22</v>
      </c>
      <c r="F876" s="3" t="s">
        <v>31</v>
      </c>
      <c r="G876" s="3" t="s">
        <v>34</v>
      </c>
      <c r="H876" s="3" t="s">
        <v>47</v>
      </c>
      <c r="I876" s="3">
        <v>143.19999999999999</v>
      </c>
      <c r="J876" s="3">
        <v>10</v>
      </c>
      <c r="K876" s="3">
        <v>-36.865499999999997</v>
      </c>
    </row>
    <row r="877" spans="1:11" ht="15.6" x14ac:dyDescent="0.3">
      <c r="A877" s="7">
        <v>42687</v>
      </c>
      <c r="B877" s="8">
        <f>YEAR(A877)</f>
        <v>2016</v>
      </c>
      <c r="C877" s="8">
        <f>MONTH(A877)</f>
        <v>11</v>
      </c>
      <c r="D877" s="3" t="s">
        <v>15</v>
      </c>
      <c r="E877" s="3" t="s">
        <v>19</v>
      </c>
      <c r="F877" s="3" t="s">
        <v>29</v>
      </c>
      <c r="G877" s="3" t="s">
        <v>32</v>
      </c>
      <c r="H877" s="3" t="s">
        <v>48</v>
      </c>
      <c r="I877" s="3">
        <v>669.81</v>
      </c>
      <c r="J877" s="3">
        <v>10</v>
      </c>
      <c r="K877" s="3">
        <v>-190.20189999999999</v>
      </c>
    </row>
    <row r="878" spans="1:11" ht="15.6" x14ac:dyDescent="0.3">
      <c r="A878" s="7">
        <v>42694</v>
      </c>
      <c r="B878" s="8">
        <f>YEAR(A878)</f>
        <v>2016</v>
      </c>
      <c r="C878" s="8">
        <f>MONTH(A878)</f>
        <v>11</v>
      </c>
      <c r="D878" s="3" t="s">
        <v>17</v>
      </c>
      <c r="E878" s="3" t="s">
        <v>27</v>
      </c>
      <c r="F878" s="3" t="s">
        <v>30</v>
      </c>
      <c r="G878" s="3" t="s">
        <v>35</v>
      </c>
      <c r="H878" s="3" t="s">
        <v>66</v>
      </c>
      <c r="I878" s="3">
        <v>562.84</v>
      </c>
      <c r="J878" s="3">
        <v>5</v>
      </c>
      <c r="K878" s="3">
        <v>-15.181100000000001</v>
      </c>
    </row>
    <row r="879" spans="1:11" ht="15.6" x14ac:dyDescent="0.3">
      <c r="A879" s="7">
        <v>42695</v>
      </c>
      <c r="B879" s="8">
        <f>YEAR(A879)</f>
        <v>2016</v>
      </c>
      <c r="C879" s="8">
        <f>MONTH(A879)</f>
        <v>11</v>
      </c>
      <c r="D879" s="3" t="s">
        <v>15</v>
      </c>
      <c r="E879" s="3" t="s">
        <v>27</v>
      </c>
      <c r="F879" s="3" t="s">
        <v>30</v>
      </c>
      <c r="G879" s="3" t="s">
        <v>37</v>
      </c>
      <c r="H879" s="3" t="s">
        <v>64</v>
      </c>
      <c r="I879" s="3">
        <v>727.13</v>
      </c>
      <c r="J879" s="3">
        <v>2</v>
      </c>
      <c r="K879" s="3">
        <v>94.384200000000007</v>
      </c>
    </row>
    <row r="880" spans="1:11" ht="15.6" x14ac:dyDescent="0.3">
      <c r="A880" s="7">
        <v>42696</v>
      </c>
      <c r="B880" s="8">
        <f>YEAR(A880)</f>
        <v>2016</v>
      </c>
      <c r="C880" s="8">
        <f>MONTH(A880)</f>
        <v>11</v>
      </c>
      <c r="D880" s="3" t="s">
        <v>15</v>
      </c>
      <c r="E880" s="3" t="s">
        <v>20</v>
      </c>
      <c r="F880" s="3" t="s">
        <v>29</v>
      </c>
      <c r="G880" s="3" t="s">
        <v>41</v>
      </c>
      <c r="H880" s="3" t="s">
        <v>57</v>
      </c>
      <c r="I880" s="3">
        <v>213.47</v>
      </c>
      <c r="J880" s="3">
        <v>3</v>
      </c>
      <c r="K880" s="3">
        <v>-32.395699999999998</v>
      </c>
    </row>
    <row r="881" spans="1:11" ht="15.6" x14ac:dyDescent="0.3">
      <c r="A881" s="7">
        <v>42697</v>
      </c>
      <c r="B881" s="8">
        <f>YEAR(A881)</f>
        <v>2016</v>
      </c>
      <c r="C881" s="8">
        <f>MONTH(A881)</f>
        <v>11</v>
      </c>
      <c r="D881" s="3" t="s">
        <v>14</v>
      </c>
      <c r="E881" s="3" t="s">
        <v>24</v>
      </c>
      <c r="F881" s="3" t="s">
        <v>31</v>
      </c>
      <c r="G881" s="3" t="s">
        <v>36</v>
      </c>
      <c r="H881" s="3" t="s">
        <v>50</v>
      </c>
      <c r="I881" s="3">
        <v>645.1</v>
      </c>
      <c r="J881" s="3">
        <v>5</v>
      </c>
      <c r="K881" s="3">
        <v>-137.92679999999999</v>
      </c>
    </row>
    <row r="882" spans="1:11" ht="15.6" x14ac:dyDescent="0.3">
      <c r="A882" s="7">
        <v>42697</v>
      </c>
      <c r="B882" s="8">
        <f>YEAR(A882)</f>
        <v>2016</v>
      </c>
      <c r="C882" s="8">
        <f>MONTH(A882)</f>
        <v>11</v>
      </c>
      <c r="D882" s="3" t="s">
        <v>10</v>
      </c>
      <c r="E882" s="3" t="s">
        <v>23</v>
      </c>
      <c r="F882" s="3" t="s">
        <v>31</v>
      </c>
      <c r="G882" s="3" t="s">
        <v>43</v>
      </c>
      <c r="H882" s="3" t="s">
        <v>62</v>
      </c>
      <c r="I882" s="3">
        <v>813.68</v>
      </c>
      <c r="J882" s="3">
        <v>3</v>
      </c>
      <c r="K882" s="3">
        <v>-200.25450000000001</v>
      </c>
    </row>
    <row r="883" spans="1:11" ht="15.6" x14ac:dyDescent="0.3">
      <c r="A883" s="7">
        <v>42698</v>
      </c>
      <c r="B883" s="8">
        <f>YEAR(A883)</f>
        <v>2016</v>
      </c>
      <c r="C883" s="8">
        <f>MONTH(A883)</f>
        <v>11</v>
      </c>
      <c r="D883" s="3" t="s">
        <v>13</v>
      </c>
      <c r="E883" s="3" t="s">
        <v>27</v>
      </c>
      <c r="F883" s="3" t="s">
        <v>29</v>
      </c>
      <c r="G883" s="3" t="s">
        <v>40</v>
      </c>
      <c r="H883" s="3" t="s">
        <v>61</v>
      </c>
      <c r="I883" s="3">
        <v>305.64999999999998</v>
      </c>
      <c r="J883" s="3">
        <v>4</v>
      </c>
      <c r="K883" s="3">
        <v>-3.8881999999999999</v>
      </c>
    </row>
    <row r="884" spans="1:11" ht="15.6" x14ac:dyDescent="0.3">
      <c r="A884" s="7">
        <v>42698</v>
      </c>
      <c r="B884" s="8">
        <f>YEAR(A884)</f>
        <v>2016</v>
      </c>
      <c r="C884" s="8">
        <f>MONTH(A884)</f>
        <v>11</v>
      </c>
      <c r="D884" s="3" t="s">
        <v>18</v>
      </c>
      <c r="E884" s="3" t="s">
        <v>20</v>
      </c>
      <c r="F884" s="3" t="s">
        <v>30</v>
      </c>
      <c r="G884" s="3" t="s">
        <v>37</v>
      </c>
      <c r="H884" s="3" t="s">
        <v>51</v>
      </c>
      <c r="I884" s="3">
        <v>98.49</v>
      </c>
      <c r="J884" s="3">
        <v>10</v>
      </c>
      <c r="K884" s="3">
        <v>-32.862699999999997</v>
      </c>
    </row>
    <row r="885" spans="1:11" ht="15.6" x14ac:dyDescent="0.3">
      <c r="A885" s="7">
        <v>42699</v>
      </c>
      <c r="B885" s="8">
        <f>YEAR(A885)</f>
        <v>2016</v>
      </c>
      <c r="C885" s="8">
        <f>MONTH(A885)</f>
        <v>11</v>
      </c>
      <c r="D885" s="3" t="s">
        <v>15</v>
      </c>
      <c r="E885" s="3" t="s">
        <v>19</v>
      </c>
      <c r="F885" s="3" t="s">
        <v>31</v>
      </c>
      <c r="G885" s="3" t="s">
        <v>43</v>
      </c>
      <c r="H885" s="3" t="s">
        <v>62</v>
      </c>
      <c r="I885" s="3">
        <v>1132.6500000000001</v>
      </c>
      <c r="J885" s="3">
        <v>2</v>
      </c>
      <c r="K885" s="3">
        <v>-165.67529999999999</v>
      </c>
    </row>
    <row r="886" spans="1:11" ht="15.6" x14ac:dyDescent="0.3">
      <c r="A886" s="7">
        <v>42701</v>
      </c>
      <c r="B886" s="8">
        <f>YEAR(A886)</f>
        <v>2016</v>
      </c>
      <c r="C886" s="8">
        <f>MONTH(A886)</f>
        <v>11</v>
      </c>
      <c r="D886" s="3" t="s">
        <v>15</v>
      </c>
      <c r="E886" s="3" t="s">
        <v>22</v>
      </c>
      <c r="F886" s="3" t="s">
        <v>31</v>
      </c>
      <c r="G886" s="3" t="s">
        <v>34</v>
      </c>
      <c r="H886" s="3" t="s">
        <v>46</v>
      </c>
      <c r="I886" s="3">
        <v>562.57000000000005</v>
      </c>
      <c r="J886" s="3">
        <v>6</v>
      </c>
      <c r="K886" s="3">
        <v>-6.7831000000000001</v>
      </c>
    </row>
    <row r="887" spans="1:11" ht="15.6" x14ac:dyDescent="0.3">
      <c r="A887" s="7">
        <v>42702</v>
      </c>
      <c r="B887" s="8">
        <f>YEAR(A887)</f>
        <v>2016</v>
      </c>
      <c r="C887" s="8">
        <f>MONTH(A887)</f>
        <v>11</v>
      </c>
      <c r="D887" s="3" t="s">
        <v>16</v>
      </c>
      <c r="E887" s="3" t="s">
        <v>26</v>
      </c>
      <c r="F887" s="3" t="s">
        <v>30</v>
      </c>
      <c r="G887" s="3" t="s">
        <v>35</v>
      </c>
      <c r="H887" s="3" t="s">
        <v>66</v>
      </c>
      <c r="I887" s="3">
        <v>783.55</v>
      </c>
      <c r="J887" s="3">
        <v>5</v>
      </c>
      <c r="K887" s="3">
        <v>-206.76560000000001</v>
      </c>
    </row>
    <row r="888" spans="1:11" ht="15.6" x14ac:dyDescent="0.3">
      <c r="A888" s="7">
        <v>42704</v>
      </c>
      <c r="B888" s="8">
        <f>YEAR(A888)</f>
        <v>2016</v>
      </c>
      <c r="C888" s="8">
        <f>MONTH(A888)</f>
        <v>11</v>
      </c>
      <c r="D888" s="3" t="s">
        <v>17</v>
      </c>
      <c r="E888" s="3" t="s">
        <v>26</v>
      </c>
      <c r="F888" s="3" t="s">
        <v>31</v>
      </c>
      <c r="G888" s="3" t="s">
        <v>43</v>
      </c>
      <c r="H888" s="3" t="s">
        <v>68</v>
      </c>
      <c r="I888" s="3">
        <v>876.38</v>
      </c>
      <c r="J888" s="3">
        <v>8</v>
      </c>
      <c r="K888" s="3">
        <v>-26.836200000000002</v>
      </c>
    </row>
    <row r="889" spans="1:11" ht="15.6" x14ac:dyDescent="0.3">
      <c r="A889" s="7">
        <v>42704</v>
      </c>
      <c r="B889" s="8">
        <f>YEAR(A889)</f>
        <v>2016</v>
      </c>
      <c r="C889" s="8">
        <f>MONTH(A889)</f>
        <v>11</v>
      </c>
      <c r="D889" s="3" t="s">
        <v>17</v>
      </c>
      <c r="E889" s="3" t="s">
        <v>22</v>
      </c>
      <c r="F889" s="3" t="s">
        <v>31</v>
      </c>
      <c r="G889" s="3" t="s">
        <v>43</v>
      </c>
      <c r="H889" s="3" t="s">
        <v>62</v>
      </c>
      <c r="I889" s="3">
        <v>408.2</v>
      </c>
      <c r="J889" s="3">
        <v>3</v>
      </c>
      <c r="K889" s="3">
        <v>-67.372399999999999</v>
      </c>
    </row>
    <row r="890" spans="1:11" ht="15.6" x14ac:dyDescent="0.3">
      <c r="A890" s="7">
        <v>42706</v>
      </c>
      <c r="B890" s="8">
        <f>YEAR(A890)</f>
        <v>2016</v>
      </c>
      <c r="C890" s="8">
        <f>MONTH(A890)</f>
        <v>12</v>
      </c>
      <c r="D890" s="3" t="s">
        <v>13</v>
      </c>
      <c r="E890" s="3" t="s">
        <v>27</v>
      </c>
      <c r="F890" s="3" t="s">
        <v>31</v>
      </c>
      <c r="G890" s="3" t="s">
        <v>38</v>
      </c>
      <c r="H890" s="3" t="s">
        <v>63</v>
      </c>
      <c r="I890" s="3">
        <v>135.63</v>
      </c>
      <c r="J890" s="3">
        <v>8</v>
      </c>
      <c r="K890" s="3">
        <v>29.8735</v>
      </c>
    </row>
    <row r="891" spans="1:11" ht="15.6" x14ac:dyDescent="0.3">
      <c r="A891" s="7">
        <v>42707</v>
      </c>
      <c r="B891" s="8">
        <f>YEAR(A891)</f>
        <v>2016</v>
      </c>
      <c r="C891" s="8">
        <f>MONTH(A891)</f>
        <v>12</v>
      </c>
      <c r="D891" s="3" t="s">
        <v>18</v>
      </c>
      <c r="E891" s="3" t="s">
        <v>21</v>
      </c>
      <c r="F891" s="3" t="s">
        <v>30</v>
      </c>
      <c r="G891" s="3" t="s">
        <v>42</v>
      </c>
      <c r="H891" s="3" t="s">
        <v>58</v>
      </c>
      <c r="I891" s="3">
        <v>365.45</v>
      </c>
      <c r="J891" s="3">
        <v>1</v>
      </c>
      <c r="K891" s="3">
        <v>-129.5085</v>
      </c>
    </row>
    <row r="892" spans="1:11" ht="15.6" x14ac:dyDescent="0.3">
      <c r="A892" s="7">
        <v>42709</v>
      </c>
      <c r="B892" s="8">
        <f>YEAR(A892)</f>
        <v>2016</v>
      </c>
      <c r="C892" s="8">
        <f>MONTH(A892)</f>
        <v>12</v>
      </c>
      <c r="D892" s="3" t="s">
        <v>10</v>
      </c>
      <c r="E892" s="3" t="s">
        <v>26</v>
      </c>
      <c r="F892" s="3" t="s">
        <v>31</v>
      </c>
      <c r="G892" s="3" t="s">
        <v>38</v>
      </c>
      <c r="H892" s="3" t="s">
        <v>63</v>
      </c>
      <c r="I892" s="3">
        <v>244.77</v>
      </c>
      <c r="J892" s="3">
        <v>8</v>
      </c>
      <c r="K892" s="3">
        <v>-70.785600000000002</v>
      </c>
    </row>
    <row r="893" spans="1:11" ht="15.6" x14ac:dyDescent="0.3">
      <c r="A893" s="7">
        <v>42711</v>
      </c>
      <c r="B893" s="8">
        <f>YEAR(A893)</f>
        <v>2016</v>
      </c>
      <c r="C893" s="8">
        <f>MONTH(A893)</f>
        <v>12</v>
      </c>
      <c r="D893" s="3" t="s">
        <v>12</v>
      </c>
      <c r="E893" s="3" t="s">
        <v>19</v>
      </c>
      <c r="F893" s="3" t="s">
        <v>30</v>
      </c>
      <c r="G893" s="3" t="s">
        <v>33</v>
      </c>
      <c r="H893" s="3" t="s">
        <v>55</v>
      </c>
      <c r="I893" s="3">
        <v>623.08000000000004</v>
      </c>
      <c r="J893" s="3">
        <v>5</v>
      </c>
      <c r="K893" s="3">
        <v>-171.20849999999999</v>
      </c>
    </row>
    <row r="894" spans="1:11" ht="15.6" x14ac:dyDescent="0.3">
      <c r="A894" s="7">
        <v>42711</v>
      </c>
      <c r="B894" s="8">
        <f>YEAR(A894)</f>
        <v>2016</v>
      </c>
      <c r="C894" s="8">
        <f>MONTH(A894)</f>
        <v>12</v>
      </c>
      <c r="D894" s="3" t="s">
        <v>11</v>
      </c>
      <c r="E894" s="3" t="s">
        <v>22</v>
      </c>
      <c r="F894" s="3" t="s">
        <v>30</v>
      </c>
      <c r="G894" s="3" t="s">
        <v>35</v>
      </c>
      <c r="H894" s="3" t="s">
        <v>59</v>
      </c>
      <c r="I894" s="3">
        <v>552.75</v>
      </c>
      <c r="J894" s="3">
        <v>9</v>
      </c>
      <c r="K894" s="3">
        <v>-159.3494</v>
      </c>
    </row>
    <row r="895" spans="1:11" ht="15.6" x14ac:dyDescent="0.3">
      <c r="A895" s="7">
        <v>42712</v>
      </c>
      <c r="B895" s="8">
        <f>YEAR(A895)</f>
        <v>2016</v>
      </c>
      <c r="C895" s="8">
        <f>MONTH(A895)</f>
        <v>12</v>
      </c>
      <c r="D895" s="3" t="s">
        <v>17</v>
      </c>
      <c r="E895" s="3" t="s">
        <v>28</v>
      </c>
      <c r="F895" s="3" t="s">
        <v>29</v>
      </c>
      <c r="G895" s="3" t="s">
        <v>40</v>
      </c>
      <c r="H895" s="3" t="s">
        <v>56</v>
      </c>
      <c r="I895" s="3">
        <v>769.54</v>
      </c>
      <c r="J895" s="3">
        <v>9</v>
      </c>
      <c r="K895" s="3">
        <v>-129.0934</v>
      </c>
    </row>
    <row r="896" spans="1:11" ht="15.6" x14ac:dyDescent="0.3">
      <c r="A896" s="7">
        <v>42713</v>
      </c>
      <c r="B896" s="8">
        <f>YEAR(A896)</f>
        <v>2016</v>
      </c>
      <c r="C896" s="8">
        <f>MONTH(A896)</f>
        <v>12</v>
      </c>
      <c r="D896" s="3" t="s">
        <v>18</v>
      </c>
      <c r="E896" s="3" t="s">
        <v>21</v>
      </c>
      <c r="F896" s="3" t="s">
        <v>30</v>
      </c>
      <c r="G896" s="3" t="s">
        <v>42</v>
      </c>
      <c r="H896" s="3" t="s">
        <v>67</v>
      </c>
      <c r="I896" s="3">
        <v>919.17</v>
      </c>
      <c r="J896" s="3">
        <v>2</v>
      </c>
      <c r="K896" s="3">
        <v>-296.02210000000002</v>
      </c>
    </row>
    <row r="897" spans="1:11" ht="15.6" x14ac:dyDescent="0.3">
      <c r="A897" s="7">
        <v>42716</v>
      </c>
      <c r="B897" s="8">
        <f>YEAR(A897)</f>
        <v>2016</v>
      </c>
      <c r="C897" s="8">
        <f>MONTH(A897)</f>
        <v>12</v>
      </c>
      <c r="D897" s="3" t="s">
        <v>12</v>
      </c>
      <c r="E897" s="3" t="s">
        <v>21</v>
      </c>
      <c r="F897" s="3" t="s">
        <v>30</v>
      </c>
      <c r="G897" s="3" t="s">
        <v>35</v>
      </c>
      <c r="H897" s="3" t="s">
        <v>59</v>
      </c>
      <c r="I897" s="3">
        <v>1016.05</v>
      </c>
      <c r="J897" s="3">
        <v>9</v>
      </c>
      <c r="K897" s="3">
        <v>128.73220000000001</v>
      </c>
    </row>
    <row r="898" spans="1:11" ht="15.6" x14ac:dyDescent="0.3">
      <c r="A898" s="7">
        <v>42717</v>
      </c>
      <c r="B898" s="8">
        <f>YEAR(A898)</f>
        <v>2016</v>
      </c>
      <c r="C898" s="8">
        <f>MONTH(A898)</f>
        <v>12</v>
      </c>
      <c r="D898" s="3" t="s">
        <v>12</v>
      </c>
      <c r="E898" s="3" t="s">
        <v>26</v>
      </c>
      <c r="F898" s="3" t="s">
        <v>29</v>
      </c>
      <c r="G898" s="3" t="s">
        <v>41</v>
      </c>
      <c r="H898" s="3" t="s">
        <v>57</v>
      </c>
      <c r="I898" s="3">
        <v>1033.5</v>
      </c>
      <c r="J898" s="3">
        <v>2</v>
      </c>
      <c r="K898" s="3">
        <v>-123.82040000000001</v>
      </c>
    </row>
    <row r="899" spans="1:11" ht="15.6" x14ac:dyDescent="0.3">
      <c r="A899" s="7">
        <v>42719</v>
      </c>
      <c r="B899" s="8">
        <f>YEAR(A899)</f>
        <v>2016</v>
      </c>
      <c r="C899" s="8">
        <f>MONTH(A899)</f>
        <v>12</v>
      </c>
      <c r="D899" s="3" t="s">
        <v>18</v>
      </c>
      <c r="E899" s="3" t="s">
        <v>25</v>
      </c>
      <c r="F899" s="3" t="s">
        <v>30</v>
      </c>
      <c r="G899" s="3" t="s">
        <v>37</v>
      </c>
      <c r="H899" s="3" t="s">
        <v>51</v>
      </c>
      <c r="I899" s="3">
        <v>499.44</v>
      </c>
      <c r="J899" s="3">
        <v>4</v>
      </c>
      <c r="K899" s="3">
        <v>60.867800000000003</v>
      </c>
    </row>
    <row r="900" spans="1:11" ht="15.6" x14ac:dyDescent="0.3">
      <c r="A900" s="7">
        <v>42724</v>
      </c>
      <c r="B900" s="8">
        <f>YEAR(A900)</f>
        <v>2016</v>
      </c>
      <c r="C900" s="8">
        <f>MONTH(A900)</f>
        <v>12</v>
      </c>
      <c r="D900" s="3" t="s">
        <v>14</v>
      </c>
      <c r="E900" s="3" t="s">
        <v>19</v>
      </c>
      <c r="F900" s="3" t="s">
        <v>31</v>
      </c>
      <c r="G900" s="3" t="s">
        <v>39</v>
      </c>
      <c r="H900" s="3" t="s">
        <v>71</v>
      </c>
      <c r="I900" s="3">
        <v>432.13</v>
      </c>
      <c r="J900" s="3">
        <v>10</v>
      </c>
      <c r="K900" s="3">
        <v>151.11770000000001</v>
      </c>
    </row>
    <row r="901" spans="1:11" ht="15.6" x14ac:dyDescent="0.3">
      <c r="A901" s="7">
        <v>42725</v>
      </c>
      <c r="B901" s="8">
        <f>YEAR(A901)</f>
        <v>2016</v>
      </c>
      <c r="C901" s="8">
        <f>MONTH(A901)</f>
        <v>12</v>
      </c>
      <c r="D901" s="3" t="s">
        <v>13</v>
      </c>
      <c r="E901" s="3" t="s">
        <v>26</v>
      </c>
      <c r="F901" s="3" t="s">
        <v>31</v>
      </c>
      <c r="G901" s="3" t="s">
        <v>34</v>
      </c>
      <c r="H901" s="3" t="s">
        <v>47</v>
      </c>
      <c r="I901" s="3">
        <v>1011.08</v>
      </c>
      <c r="J901" s="3">
        <v>8</v>
      </c>
      <c r="K901" s="3">
        <v>-57.120600000000003</v>
      </c>
    </row>
    <row r="902" spans="1:11" ht="15.6" x14ac:dyDescent="0.3">
      <c r="A902" s="7">
        <v>42726</v>
      </c>
      <c r="B902" s="8">
        <f>YEAR(A902)</f>
        <v>2016</v>
      </c>
      <c r="C902" s="8">
        <f>MONTH(A902)</f>
        <v>12</v>
      </c>
      <c r="D902" s="3" t="s">
        <v>12</v>
      </c>
      <c r="E902" s="3" t="s">
        <v>20</v>
      </c>
      <c r="F902" s="3" t="s">
        <v>29</v>
      </c>
      <c r="G902" s="3" t="s">
        <v>40</v>
      </c>
      <c r="H902" s="3" t="s">
        <v>61</v>
      </c>
      <c r="I902" s="3">
        <v>614.39</v>
      </c>
      <c r="J902" s="3">
        <v>6</v>
      </c>
      <c r="K902" s="3">
        <v>-83.971900000000005</v>
      </c>
    </row>
    <row r="903" spans="1:11" ht="15.6" x14ac:dyDescent="0.3">
      <c r="A903" s="7">
        <v>42727</v>
      </c>
      <c r="B903" s="8">
        <f>YEAR(A903)</f>
        <v>2016</v>
      </c>
      <c r="C903" s="8">
        <f>MONTH(A903)</f>
        <v>12</v>
      </c>
      <c r="D903" s="3" t="s">
        <v>15</v>
      </c>
      <c r="E903" s="3" t="s">
        <v>19</v>
      </c>
      <c r="F903" s="3" t="s">
        <v>30</v>
      </c>
      <c r="G903" s="3" t="s">
        <v>33</v>
      </c>
      <c r="H903" s="3" t="s">
        <v>60</v>
      </c>
      <c r="I903" s="3">
        <v>193.13</v>
      </c>
      <c r="J903" s="3">
        <v>9</v>
      </c>
      <c r="K903" s="3">
        <v>-65.648099999999999</v>
      </c>
    </row>
    <row r="904" spans="1:11" ht="15.6" x14ac:dyDescent="0.3">
      <c r="A904" s="7">
        <v>42729</v>
      </c>
      <c r="B904" s="8">
        <f>YEAR(A904)</f>
        <v>2016</v>
      </c>
      <c r="C904" s="8">
        <f>MONTH(A904)</f>
        <v>12</v>
      </c>
      <c r="D904" s="3" t="s">
        <v>11</v>
      </c>
      <c r="E904" s="3" t="s">
        <v>23</v>
      </c>
      <c r="F904" s="3" t="s">
        <v>31</v>
      </c>
      <c r="G904" s="3" t="s">
        <v>38</v>
      </c>
      <c r="H904" s="3" t="s">
        <v>53</v>
      </c>
      <c r="I904" s="3">
        <v>458.24</v>
      </c>
      <c r="J904" s="3">
        <v>4</v>
      </c>
      <c r="K904" s="3">
        <v>-98.231099999999998</v>
      </c>
    </row>
    <row r="905" spans="1:11" ht="15.6" x14ac:dyDescent="0.3">
      <c r="A905" s="7">
        <v>42730</v>
      </c>
      <c r="B905" s="8">
        <f>YEAR(A905)</f>
        <v>2016</v>
      </c>
      <c r="C905" s="8">
        <f>MONTH(A905)</f>
        <v>12</v>
      </c>
      <c r="D905" s="3" t="s">
        <v>11</v>
      </c>
      <c r="E905" s="3" t="s">
        <v>24</v>
      </c>
      <c r="F905" s="3" t="s">
        <v>30</v>
      </c>
      <c r="G905" s="3" t="s">
        <v>37</v>
      </c>
      <c r="H905" s="3" t="s">
        <v>51</v>
      </c>
      <c r="I905" s="3">
        <v>541.39</v>
      </c>
      <c r="J905" s="3">
        <v>1</v>
      </c>
      <c r="K905" s="3">
        <v>-57.444600000000001</v>
      </c>
    </row>
    <row r="906" spans="1:11" ht="15.6" x14ac:dyDescent="0.3">
      <c r="A906" s="7">
        <v>42731</v>
      </c>
      <c r="B906" s="8">
        <f>YEAR(A906)</f>
        <v>2016</v>
      </c>
      <c r="C906" s="8">
        <f>MONTH(A906)</f>
        <v>12</v>
      </c>
      <c r="D906" s="3" t="s">
        <v>17</v>
      </c>
      <c r="E906" s="3" t="s">
        <v>20</v>
      </c>
      <c r="F906" s="3" t="s">
        <v>29</v>
      </c>
      <c r="G906" s="3" t="s">
        <v>41</v>
      </c>
      <c r="H906" s="3" t="s">
        <v>65</v>
      </c>
      <c r="I906" s="3">
        <v>516.91</v>
      </c>
      <c r="J906" s="3">
        <v>6</v>
      </c>
      <c r="K906" s="3">
        <v>-180.0307</v>
      </c>
    </row>
    <row r="907" spans="1:11" ht="15.6" x14ac:dyDescent="0.3">
      <c r="A907" s="7">
        <v>42732</v>
      </c>
      <c r="B907" s="8">
        <f>YEAR(A907)</f>
        <v>2016</v>
      </c>
      <c r="C907" s="8">
        <f>MONTH(A907)</f>
        <v>12</v>
      </c>
      <c r="D907" s="3" t="s">
        <v>12</v>
      </c>
      <c r="E907" s="3" t="s">
        <v>20</v>
      </c>
      <c r="F907" s="3" t="s">
        <v>30</v>
      </c>
      <c r="G907" s="3" t="s">
        <v>35</v>
      </c>
      <c r="H907" s="3" t="s">
        <v>66</v>
      </c>
      <c r="I907" s="3">
        <v>980.46</v>
      </c>
      <c r="J907" s="3">
        <v>1</v>
      </c>
      <c r="K907" s="3">
        <v>169.65610000000001</v>
      </c>
    </row>
    <row r="908" spans="1:11" ht="15.6" x14ac:dyDescent="0.3">
      <c r="A908" s="7">
        <v>42732</v>
      </c>
      <c r="B908" s="8">
        <f>YEAR(A908)</f>
        <v>2016</v>
      </c>
      <c r="C908" s="8">
        <f>MONTH(A908)</f>
        <v>12</v>
      </c>
      <c r="D908" s="3" t="s">
        <v>12</v>
      </c>
      <c r="E908" s="3" t="s">
        <v>27</v>
      </c>
      <c r="F908" s="3" t="s">
        <v>31</v>
      </c>
      <c r="G908" s="3" t="s">
        <v>38</v>
      </c>
      <c r="H908" s="3" t="s">
        <v>63</v>
      </c>
      <c r="I908" s="3">
        <v>365.36</v>
      </c>
      <c r="J908" s="3">
        <v>1</v>
      </c>
      <c r="K908" s="3">
        <v>-35.285800000000002</v>
      </c>
    </row>
    <row r="909" spans="1:11" ht="15.6" x14ac:dyDescent="0.3">
      <c r="A909" s="7">
        <v>42733</v>
      </c>
      <c r="B909" s="8">
        <f>YEAR(A909)</f>
        <v>2016</v>
      </c>
      <c r="C909" s="8">
        <f>MONTH(A909)</f>
        <v>12</v>
      </c>
      <c r="D909" s="3" t="s">
        <v>17</v>
      </c>
      <c r="E909" s="3" t="s">
        <v>23</v>
      </c>
      <c r="F909" s="3" t="s">
        <v>29</v>
      </c>
      <c r="G909" s="3" t="s">
        <v>32</v>
      </c>
      <c r="H909" s="3" t="s">
        <v>44</v>
      </c>
      <c r="I909" s="3">
        <v>290.81</v>
      </c>
      <c r="J909" s="3">
        <v>8</v>
      </c>
      <c r="K909" s="3">
        <v>80.839600000000004</v>
      </c>
    </row>
    <row r="910" spans="1:11" ht="15.6" x14ac:dyDescent="0.3">
      <c r="A910" s="7">
        <v>42733</v>
      </c>
      <c r="B910" s="8">
        <f>YEAR(A910)</f>
        <v>2016</v>
      </c>
      <c r="C910" s="8">
        <f>MONTH(A910)</f>
        <v>12</v>
      </c>
      <c r="D910" s="3" t="s">
        <v>10</v>
      </c>
      <c r="E910" s="3" t="s">
        <v>23</v>
      </c>
      <c r="F910" s="3" t="s">
        <v>30</v>
      </c>
      <c r="G910" s="3" t="s">
        <v>35</v>
      </c>
      <c r="H910" s="3" t="s">
        <v>59</v>
      </c>
      <c r="I910" s="3">
        <v>677.88</v>
      </c>
      <c r="J910" s="3">
        <v>5</v>
      </c>
      <c r="K910" s="3">
        <v>-225.53989999999999</v>
      </c>
    </row>
    <row r="911" spans="1:11" ht="15.6" x14ac:dyDescent="0.3">
      <c r="A911" s="7">
        <v>42734</v>
      </c>
      <c r="B911" s="8">
        <f>YEAR(A911)</f>
        <v>2016</v>
      </c>
      <c r="C911" s="8">
        <f>MONTH(A911)</f>
        <v>12</v>
      </c>
      <c r="D911" s="3" t="s">
        <v>16</v>
      </c>
      <c r="E911" s="3" t="s">
        <v>22</v>
      </c>
      <c r="F911" s="3" t="s">
        <v>30</v>
      </c>
      <c r="G911" s="3" t="s">
        <v>42</v>
      </c>
      <c r="H911" s="3" t="s">
        <v>67</v>
      </c>
      <c r="I911" s="3">
        <v>1024.74</v>
      </c>
      <c r="J911" s="3">
        <v>6</v>
      </c>
      <c r="K911" s="3">
        <v>-348.06049999999999</v>
      </c>
    </row>
    <row r="912" spans="1:11" ht="15.6" x14ac:dyDescent="0.3">
      <c r="A912" s="7">
        <v>42735</v>
      </c>
      <c r="B912" s="8">
        <f>YEAR(A912)</f>
        <v>2016</v>
      </c>
      <c r="C912" s="8">
        <f>MONTH(A912)</f>
        <v>12</v>
      </c>
      <c r="D912" s="3" t="s">
        <v>11</v>
      </c>
      <c r="E912" s="3" t="s">
        <v>20</v>
      </c>
      <c r="F912" s="3" t="s">
        <v>29</v>
      </c>
      <c r="G912" s="3" t="s">
        <v>40</v>
      </c>
      <c r="H912" s="3" t="s">
        <v>61</v>
      </c>
      <c r="I912" s="3">
        <v>887.73</v>
      </c>
      <c r="J912" s="3">
        <v>1</v>
      </c>
      <c r="K912" s="3">
        <v>252.9341</v>
      </c>
    </row>
    <row r="913" spans="1:11" ht="15.6" x14ac:dyDescent="0.3">
      <c r="A913" s="7">
        <v>42736</v>
      </c>
      <c r="B913" s="8">
        <f>YEAR(A913)</f>
        <v>2017</v>
      </c>
      <c r="C913" s="8">
        <f>MONTH(A913)</f>
        <v>1</v>
      </c>
      <c r="D913" s="3" t="s">
        <v>17</v>
      </c>
      <c r="E913" s="3" t="s">
        <v>20</v>
      </c>
      <c r="F913" s="3" t="s">
        <v>30</v>
      </c>
      <c r="G913" s="3" t="s">
        <v>42</v>
      </c>
      <c r="H913" s="3" t="s">
        <v>67</v>
      </c>
      <c r="I913" s="3">
        <v>1056.76</v>
      </c>
      <c r="J913" s="3">
        <v>7</v>
      </c>
      <c r="K913" s="3">
        <v>-213.35720000000001</v>
      </c>
    </row>
    <row r="914" spans="1:11" ht="15.6" x14ac:dyDescent="0.3">
      <c r="A914" s="7">
        <v>42737</v>
      </c>
      <c r="B914" s="8">
        <f>YEAR(A914)</f>
        <v>2017</v>
      </c>
      <c r="C914" s="8">
        <f>MONTH(A914)</f>
        <v>1</v>
      </c>
      <c r="D914" s="3" t="s">
        <v>17</v>
      </c>
      <c r="E914" s="3" t="s">
        <v>28</v>
      </c>
      <c r="F914" s="3" t="s">
        <v>30</v>
      </c>
      <c r="G914" s="3" t="s">
        <v>42</v>
      </c>
      <c r="H914" s="3" t="s">
        <v>67</v>
      </c>
      <c r="I914" s="3">
        <v>24.64</v>
      </c>
      <c r="J914" s="3">
        <v>9</v>
      </c>
      <c r="K914" s="3">
        <v>0.77090000000000003</v>
      </c>
    </row>
    <row r="915" spans="1:11" ht="15.6" x14ac:dyDescent="0.3">
      <c r="A915" s="7">
        <v>42740</v>
      </c>
      <c r="B915" s="8">
        <f>YEAR(A915)</f>
        <v>2017</v>
      </c>
      <c r="C915" s="8">
        <f>MONTH(A915)</f>
        <v>1</v>
      </c>
      <c r="D915" s="3" t="s">
        <v>17</v>
      </c>
      <c r="E915" s="3" t="s">
        <v>27</v>
      </c>
      <c r="F915" s="3" t="s">
        <v>31</v>
      </c>
      <c r="G915" s="3" t="s">
        <v>38</v>
      </c>
      <c r="H915" s="3" t="s">
        <v>53</v>
      </c>
      <c r="I915" s="3">
        <v>963.38</v>
      </c>
      <c r="J915" s="3">
        <v>4</v>
      </c>
      <c r="K915" s="3">
        <v>165.1182</v>
      </c>
    </row>
    <row r="916" spans="1:11" ht="15.6" x14ac:dyDescent="0.3">
      <c r="A916" s="7">
        <v>42740</v>
      </c>
      <c r="B916" s="8">
        <f>YEAR(A916)</f>
        <v>2017</v>
      </c>
      <c r="C916" s="8">
        <f>MONTH(A916)</f>
        <v>1</v>
      </c>
      <c r="D916" s="3" t="s">
        <v>13</v>
      </c>
      <c r="E916" s="3" t="s">
        <v>22</v>
      </c>
      <c r="F916" s="3" t="s">
        <v>30</v>
      </c>
      <c r="G916" s="3" t="s">
        <v>33</v>
      </c>
      <c r="H916" s="3" t="s">
        <v>60</v>
      </c>
      <c r="I916" s="3">
        <v>833.65</v>
      </c>
      <c r="J916" s="3">
        <v>3</v>
      </c>
      <c r="K916" s="3">
        <v>13.4922</v>
      </c>
    </row>
    <row r="917" spans="1:11" ht="15.6" x14ac:dyDescent="0.3">
      <c r="A917" s="7">
        <v>42740</v>
      </c>
      <c r="B917" s="8">
        <f>YEAR(A917)</f>
        <v>2017</v>
      </c>
      <c r="C917" s="8">
        <f>MONTH(A917)</f>
        <v>1</v>
      </c>
      <c r="D917" s="3" t="s">
        <v>11</v>
      </c>
      <c r="E917" s="3" t="s">
        <v>19</v>
      </c>
      <c r="F917" s="3" t="s">
        <v>29</v>
      </c>
      <c r="G917" s="3" t="s">
        <v>40</v>
      </c>
      <c r="H917" s="3" t="s">
        <v>56</v>
      </c>
      <c r="I917" s="3">
        <v>659.29</v>
      </c>
      <c r="J917" s="3">
        <v>2</v>
      </c>
      <c r="K917" s="3">
        <v>-113.0561</v>
      </c>
    </row>
    <row r="918" spans="1:11" ht="15.6" x14ac:dyDescent="0.3">
      <c r="A918" s="7">
        <v>42742</v>
      </c>
      <c r="B918" s="8">
        <f>YEAR(A918)</f>
        <v>2017</v>
      </c>
      <c r="C918" s="8">
        <f>MONTH(A918)</f>
        <v>1</v>
      </c>
      <c r="D918" s="3" t="s">
        <v>13</v>
      </c>
      <c r="E918" s="3" t="s">
        <v>25</v>
      </c>
      <c r="F918" s="3" t="s">
        <v>29</v>
      </c>
      <c r="G918" s="3" t="s">
        <v>40</v>
      </c>
      <c r="H918" s="3" t="s">
        <v>56</v>
      </c>
      <c r="I918" s="3">
        <v>930.7</v>
      </c>
      <c r="J918" s="3">
        <v>8</v>
      </c>
      <c r="K918" s="3">
        <v>-68.238100000000003</v>
      </c>
    </row>
    <row r="919" spans="1:11" ht="15.6" x14ac:dyDescent="0.3">
      <c r="A919" s="7">
        <v>42742</v>
      </c>
      <c r="B919" s="8">
        <f>YEAR(A919)</f>
        <v>2017</v>
      </c>
      <c r="C919" s="8">
        <f>MONTH(A919)</f>
        <v>1</v>
      </c>
      <c r="D919" s="3" t="s">
        <v>14</v>
      </c>
      <c r="E919" s="3" t="s">
        <v>23</v>
      </c>
      <c r="F919" s="3" t="s">
        <v>30</v>
      </c>
      <c r="G919" s="3" t="s">
        <v>42</v>
      </c>
      <c r="H919" s="3" t="s">
        <v>69</v>
      </c>
      <c r="I919" s="3">
        <v>1020.09</v>
      </c>
      <c r="J919" s="3">
        <v>2</v>
      </c>
      <c r="K919" s="3">
        <v>338.5471</v>
      </c>
    </row>
    <row r="920" spans="1:11" ht="15.6" x14ac:dyDescent="0.3">
      <c r="A920" s="7">
        <v>42745</v>
      </c>
      <c r="B920" s="8">
        <f>YEAR(A920)</f>
        <v>2017</v>
      </c>
      <c r="C920" s="8">
        <f>MONTH(A920)</f>
        <v>1</v>
      </c>
      <c r="D920" s="3" t="s">
        <v>10</v>
      </c>
      <c r="E920" s="3" t="s">
        <v>24</v>
      </c>
      <c r="F920" s="3" t="s">
        <v>30</v>
      </c>
      <c r="G920" s="3" t="s">
        <v>37</v>
      </c>
      <c r="H920" s="3" t="s">
        <v>64</v>
      </c>
      <c r="I920" s="3">
        <v>140.69999999999999</v>
      </c>
      <c r="J920" s="3">
        <v>8</v>
      </c>
      <c r="K920" s="3">
        <v>21.532</v>
      </c>
    </row>
    <row r="921" spans="1:11" ht="15.6" x14ac:dyDescent="0.3">
      <c r="A921" s="7">
        <v>42747</v>
      </c>
      <c r="B921" s="8">
        <f>YEAR(A921)</f>
        <v>2017</v>
      </c>
      <c r="C921" s="8">
        <f>MONTH(A921)</f>
        <v>1</v>
      </c>
      <c r="D921" s="3" t="s">
        <v>16</v>
      </c>
      <c r="E921" s="3" t="s">
        <v>25</v>
      </c>
      <c r="F921" s="3" t="s">
        <v>29</v>
      </c>
      <c r="G921" s="3" t="s">
        <v>41</v>
      </c>
      <c r="H921" s="3" t="s">
        <v>65</v>
      </c>
      <c r="I921" s="3">
        <v>401.42</v>
      </c>
      <c r="J921" s="3">
        <v>3</v>
      </c>
      <c r="K921" s="3">
        <v>77.423299999999998</v>
      </c>
    </row>
    <row r="922" spans="1:11" ht="15.6" x14ac:dyDescent="0.3">
      <c r="A922" s="7">
        <v>42747</v>
      </c>
      <c r="B922" s="8">
        <f>YEAR(A922)</f>
        <v>2017</v>
      </c>
      <c r="C922" s="8">
        <f>MONTH(A922)</f>
        <v>1</v>
      </c>
      <c r="D922" s="3" t="s">
        <v>12</v>
      </c>
      <c r="E922" s="3" t="s">
        <v>20</v>
      </c>
      <c r="F922" s="3" t="s">
        <v>31</v>
      </c>
      <c r="G922" s="3" t="s">
        <v>38</v>
      </c>
      <c r="H922" s="3" t="s">
        <v>53</v>
      </c>
      <c r="I922" s="3">
        <v>535.16</v>
      </c>
      <c r="J922" s="3">
        <v>3</v>
      </c>
      <c r="K922" s="3">
        <v>-202.4272</v>
      </c>
    </row>
    <row r="923" spans="1:11" ht="15.6" x14ac:dyDescent="0.3">
      <c r="A923" s="7">
        <v>42748</v>
      </c>
      <c r="B923" s="8">
        <f>YEAR(A923)</f>
        <v>2017</v>
      </c>
      <c r="C923" s="8">
        <f>MONTH(A923)</f>
        <v>1</v>
      </c>
      <c r="D923" s="3" t="s">
        <v>16</v>
      </c>
      <c r="E923" s="3" t="s">
        <v>25</v>
      </c>
      <c r="F923" s="3" t="s">
        <v>30</v>
      </c>
      <c r="G923" s="3" t="s">
        <v>37</v>
      </c>
      <c r="H923" s="3" t="s">
        <v>64</v>
      </c>
      <c r="I923" s="3">
        <v>43.61</v>
      </c>
      <c r="J923" s="3">
        <v>8</v>
      </c>
      <c r="K923" s="3">
        <v>-14.0921</v>
      </c>
    </row>
    <row r="924" spans="1:11" ht="15.6" x14ac:dyDescent="0.3">
      <c r="A924" s="7">
        <v>42750</v>
      </c>
      <c r="B924" s="8">
        <f>YEAR(A924)</f>
        <v>2017</v>
      </c>
      <c r="C924" s="8">
        <f>MONTH(A924)</f>
        <v>1</v>
      </c>
      <c r="D924" s="3" t="s">
        <v>9</v>
      </c>
      <c r="E924" s="3" t="s">
        <v>26</v>
      </c>
      <c r="F924" s="3" t="s">
        <v>30</v>
      </c>
      <c r="G924" s="3" t="s">
        <v>37</v>
      </c>
      <c r="H924" s="3" t="s">
        <v>51</v>
      </c>
      <c r="I924" s="3">
        <v>988.02</v>
      </c>
      <c r="J924" s="3">
        <v>1</v>
      </c>
      <c r="K924" s="3">
        <v>167.9665</v>
      </c>
    </row>
    <row r="925" spans="1:11" ht="15.6" x14ac:dyDescent="0.3">
      <c r="A925" s="7">
        <v>42752</v>
      </c>
      <c r="B925" s="8">
        <f>YEAR(A925)</f>
        <v>2017</v>
      </c>
      <c r="C925" s="8">
        <f>MONTH(A925)</f>
        <v>1</v>
      </c>
      <c r="D925" s="3" t="s">
        <v>14</v>
      </c>
      <c r="E925" s="3" t="s">
        <v>19</v>
      </c>
      <c r="F925" s="3" t="s">
        <v>31</v>
      </c>
      <c r="G925" s="3" t="s">
        <v>34</v>
      </c>
      <c r="H925" s="3" t="s">
        <v>47</v>
      </c>
      <c r="I925" s="3">
        <v>570.71</v>
      </c>
      <c r="J925" s="3">
        <v>1</v>
      </c>
      <c r="K925" s="3">
        <v>94.149000000000001</v>
      </c>
    </row>
    <row r="926" spans="1:11" ht="15.6" x14ac:dyDescent="0.3">
      <c r="A926" s="7">
        <v>42752</v>
      </c>
      <c r="B926" s="8">
        <f>YEAR(A926)</f>
        <v>2017</v>
      </c>
      <c r="C926" s="8">
        <f>MONTH(A926)</f>
        <v>1</v>
      </c>
      <c r="D926" s="3" t="s">
        <v>12</v>
      </c>
      <c r="E926" s="3" t="s">
        <v>21</v>
      </c>
      <c r="F926" s="3" t="s">
        <v>30</v>
      </c>
      <c r="G926" s="3" t="s">
        <v>35</v>
      </c>
      <c r="H926" s="3" t="s">
        <v>66</v>
      </c>
      <c r="I926" s="3">
        <v>646.76</v>
      </c>
      <c r="J926" s="3">
        <v>2</v>
      </c>
      <c r="K926" s="3">
        <v>-89.219099999999997</v>
      </c>
    </row>
    <row r="927" spans="1:11" ht="15.6" x14ac:dyDescent="0.3">
      <c r="A927" s="7">
        <v>42752</v>
      </c>
      <c r="B927" s="8">
        <f>YEAR(A927)</f>
        <v>2017</v>
      </c>
      <c r="C927" s="8">
        <f>MONTH(A927)</f>
        <v>1</v>
      </c>
      <c r="D927" s="3" t="s">
        <v>16</v>
      </c>
      <c r="E927" s="3" t="s">
        <v>24</v>
      </c>
      <c r="F927" s="3" t="s">
        <v>29</v>
      </c>
      <c r="G927" s="3" t="s">
        <v>40</v>
      </c>
      <c r="H927" s="3" t="s">
        <v>61</v>
      </c>
      <c r="I927" s="3">
        <v>1095.3</v>
      </c>
      <c r="J927" s="3">
        <v>1</v>
      </c>
      <c r="K927" s="3">
        <v>194.47829999999999</v>
      </c>
    </row>
    <row r="928" spans="1:11" ht="15.6" x14ac:dyDescent="0.3">
      <c r="A928" s="7">
        <v>42753</v>
      </c>
      <c r="B928" s="8">
        <f>YEAR(A928)</f>
        <v>2017</v>
      </c>
      <c r="C928" s="8">
        <f>MONTH(A928)</f>
        <v>1</v>
      </c>
      <c r="D928" s="3" t="s">
        <v>16</v>
      </c>
      <c r="E928" s="3" t="s">
        <v>19</v>
      </c>
      <c r="F928" s="3" t="s">
        <v>31</v>
      </c>
      <c r="G928" s="3" t="s">
        <v>36</v>
      </c>
      <c r="H928" s="3" t="s">
        <v>50</v>
      </c>
      <c r="I928" s="3">
        <v>969.91</v>
      </c>
      <c r="J928" s="3">
        <v>10</v>
      </c>
      <c r="K928" s="3">
        <v>254.14279999999999</v>
      </c>
    </row>
    <row r="929" spans="1:11" ht="15.6" x14ac:dyDescent="0.3">
      <c r="A929" s="7">
        <v>42757</v>
      </c>
      <c r="B929" s="8">
        <f>YEAR(A929)</f>
        <v>2017</v>
      </c>
      <c r="C929" s="8">
        <f>MONTH(A929)</f>
        <v>1</v>
      </c>
      <c r="D929" s="3" t="s">
        <v>13</v>
      </c>
      <c r="E929" s="3" t="s">
        <v>26</v>
      </c>
      <c r="F929" s="3" t="s">
        <v>29</v>
      </c>
      <c r="G929" s="3" t="s">
        <v>41</v>
      </c>
      <c r="H929" s="3" t="s">
        <v>65</v>
      </c>
      <c r="I929" s="3">
        <v>351.16</v>
      </c>
      <c r="J929" s="3">
        <v>5</v>
      </c>
      <c r="K929" s="3">
        <v>-13.270799999999999</v>
      </c>
    </row>
    <row r="930" spans="1:11" ht="15.6" x14ac:dyDescent="0.3">
      <c r="A930" s="7">
        <v>42759</v>
      </c>
      <c r="B930" s="8">
        <f>YEAR(A930)</f>
        <v>2017</v>
      </c>
      <c r="C930" s="8">
        <f>MONTH(A930)</f>
        <v>1</v>
      </c>
      <c r="D930" s="3" t="s">
        <v>18</v>
      </c>
      <c r="E930" s="3" t="s">
        <v>24</v>
      </c>
      <c r="F930" s="3" t="s">
        <v>29</v>
      </c>
      <c r="G930" s="3" t="s">
        <v>40</v>
      </c>
      <c r="H930" s="3" t="s">
        <v>56</v>
      </c>
      <c r="I930" s="3">
        <v>887.45</v>
      </c>
      <c r="J930" s="3">
        <v>4</v>
      </c>
      <c r="K930" s="3">
        <v>161.61359999999999</v>
      </c>
    </row>
    <row r="931" spans="1:11" ht="15.6" x14ac:dyDescent="0.3">
      <c r="A931" s="7">
        <v>42761</v>
      </c>
      <c r="B931" s="8">
        <f>YEAR(A931)</f>
        <v>2017</v>
      </c>
      <c r="C931" s="8">
        <f>MONTH(A931)</f>
        <v>1</v>
      </c>
      <c r="D931" s="3" t="s">
        <v>14</v>
      </c>
      <c r="E931" s="3" t="s">
        <v>19</v>
      </c>
      <c r="F931" s="3" t="s">
        <v>31</v>
      </c>
      <c r="G931" s="3" t="s">
        <v>34</v>
      </c>
      <c r="H931" s="3" t="s">
        <v>47</v>
      </c>
      <c r="I931" s="3">
        <v>628.77</v>
      </c>
      <c r="J931" s="3">
        <v>2</v>
      </c>
      <c r="K931" s="3">
        <v>-229.92009999999999</v>
      </c>
    </row>
    <row r="932" spans="1:11" ht="15.6" x14ac:dyDescent="0.3">
      <c r="A932" s="7">
        <v>42762</v>
      </c>
      <c r="B932" s="8">
        <f>YEAR(A932)</f>
        <v>2017</v>
      </c>
      <c r="C932" s="8">
        <f>MONTH(A932)</f>
        <v>1</v>
      </c>
      <c r="D932" s="3" t="s">
        <v>15</v>
      </c>
      <c r="E932" s="3" t="s">
        <v>20</v>
      </c>
      <c r="F932" s="3" t="s">
        <v>31</v>
      </c>
      <c r="G932" s="3" t="s">
        <v>38</v>
      </c>
      <c r="H932" s="3" t="s">
        <v>63</v>
      </c>
      <c r="I932" s="3">
        <v>482.03</v>
      </c>
      <c r="J932" s="3">
        <v>2</v>
      </c>
      <c r="K932" s="3">
        <v>-48.735500000000002</v>
      </c>
    </row>
    <row r="933" spans="1:11" ht="15.6" x14ac:dyDescent="0.3">
      <c r="A933" s="7">
        <v>42766</v>
      </c>
      <c r="B933" s="8">
        <f>YEAR(A933)</f>
        <v>2017</v>
      </c>
      <c r="C933" s="8">
        <f>MONTH(A933)</f>
        <v>1</v>
      </c>
      <c r="D933" s="3" t="s">
        <v>17</v>
      </c>
      <c r="E933" s="3" t="s">
        <v>24</v>
      </c>
      <c r="F933" s="3" t="s">
        <v>29</v>
      </c>
      <c r="G933" s="3" t="s">
        <v>40</v>
      </c>
      <c r="H933" s="3" t="s">
        <v>61</v>
      </c>
      <c r="I933" s="3">
        <v>37.159999999999997</v>
      </c>
      <c r="J933" s="3">
        <v>8</v>
      </c>
      <c r="K933" s="3">
        <v>11.416700000000001</v>
      </c>
    </row>
    <row r="934" spans="1:11" ht="15.6" x14ac:dyDescent="0.3">
      <c r="A934" s="7">
        <v>42766</v>
      </c>
      <c r="B934" s="8">
        <f>YEAR(A934)</f>
        <v>2017</v>
      </c>
      <c r="C934" s="8">
        <f>MONTH(A934)</f>
        <v>1</v>
      </c>
      <c r="D934" s="3" t="s">
        <v>18</v>
      </c>
      <c r="E934" s="3" t="s">
        <v>22</v>
      </c>
      <c r="F934" s="3" t="s">
        <v>30</v>
      </c>
      <c r="G934" s="3" t="s">
        <v>35</v>
      </c>
      <c r="H934" s="3" t="s">
        <v>49</v>
      </c>
      <c r="I934" s="3">
        <v>484.86</v>
      </c>
      <c r="J934" s="3">
        <v>6</v>
      </c>
      <c r="K934" s="3">
        <v>45.164200000000001</v>
      </c>
    </row>
    <row r="935" spans="1:11" ht="15.6" x14ac:dyDescent="0.3">
      <c r="A935" s="7">
        <v>42766</v>
      </c>
      <c r="B935" s="8">
        <f>YEAR(A935)</f>
        <v>2017</v>
      </c>
      <c r="C935" s="8">
        <f>MONTH(A935)</f>
        <v>1</v>
      </c>
      <c r="D935" s="3" t="s">
        <v>10</v>
      </c>
      <c r="E935" s="3" t="s">
        <v>26</v>
      </c>
      <c r="F935" s="3" t="s">
        <v>31</v>
      </c>
      <c r="G935" s="3" t="s">
        <v>34</v>
      </c>
      <c r="H935" s="3" t="s">
        <v>47</v>
      </c>
      <c r="I935" s="3">
        <v>1189.8</v>
      </c>
      <c r="J935" s="3">
        <v>6</v>
      </c>
      <c r="K935" s="3">
        <v>277.9855</v>
      </c>
    </row>
    <row r="936" spans="1:11" ht="15.6" x14ac:dyDescent="0.3">
      <c r="A936" s="7">
        <v>42767</v>
      </c>
      <c r="B936" s="8">
        <f>YEAR(A936)</f>
        <v>2017</v>
      </c>
      <c r="C936" s="8">
        <f>MONTH(A936)</f>
        <v>2</v>
      </c>
      <c r="D936" s="3" t="s">
        <v>16</v>
      </c>
      <c r="E936" s="3" t="s">
        <v>25</v>
      </c>
      <c r="F936" s="3" t="s">
        <v>30</v>
      </c>
      <c r="G936" s="3" t="s">
        <v>37</v>
      </c>
      <c r="H936" s="3" t="s">
        <v>51</v>
      </c>
      <c r="I936" s="3">
        <v>215.3</v>
      </c>
      <c r="J936" s="3">
        <v>1</v>
      </c>
      <c r="K936" s="3">
        <v>69.507499999999993</v>
      </c>
    </row>
    <row r="937" spans="1:11" ht="15.6" x14ac:dyDescent="0.3">
      <c r="A937" s="7">
        <v>42768</v>
      </c>
      <c r="B937" s="8">
        <f>YEAR(A937)</f>
        <v>2017</v>
      </c>
      <c r="C937" s="8">
        <f>MONTH(A937)</f>
        <v>2</v>
      </c>
      <c r="D937" s="3" t="s">
        <v>17</v>
      </c>
      <c r="E937" s="3" t="s">
        <v>24</v>
      </c>
      <c r="F937" s="3" t="s">
        <v>29</v>
      </c>
      <c r="G937" s="3" t="s">
        <v>41</v>
      </c>
      <c r="H937" s="3" t="s">
        <v>65</v>
      </c>
      <c r="I937" s="3">
        <v>21.34</v>
      </c>
      <c r="J937" s="3">
        <v>7</v>
      </c>
      <c r="K937" s="3">
        <v>-7.0442</v>
      </c>
    </row>
    <row r="938" spans="1:11" ht="15.6" x14ac:dyDescent="0.3">
      <c r="A938" s="7">
        <v>42768</v>
      </c>
      <c r="B938" s="8">
        <f>YEAR(A938)</f>
        <v>2017</v>
      </c>
      <c r="C938" s="8">
        <f>MONTH(A938)</f>
        <v>2</v>
      </c>
      <c r="D938" s="3" t="s">
        <v>10</v>
      </c>
      <c r="E938" s="3" t="s">
        <v>23</v>
      </c>
      <c r="F938" s="3" t="s">
        <v>30</v>
      </c>
      <c r="G938" s="3" t="s">
        <v>37</v>
      </c>
      <c r="H938" s="3" t="s">
        <v>64</v>
      </c>
      <c r="I938" s="3">
        <v>332.97</v>
      </c>
      <c r="J938" s="3">
        <v>5</v>
      </c>
      <c r="K938" s="3">
        <v>20.2516</v>
      </c>
    </row>
    <row r="939" spans="1:11" ht="15.6" x14ac:dyDescent="0.3">
      <c r="A939" s="7">
        <v>42768</v>
      </c>
      <c r="B939" s="8">
        <f>YEAR(A939)</f>
        <v>2017</v>
      </c>
      <c r="C939" s="8">
        <f>MONTH(A939)</f>
        <v>2</v>
      </c>
      <c r="D939" s="3" t="s">
        <v>9</v>
      </c>
      <c r="E939" s="3" t="s">
        <v>28</v>
      </c>
      <c r="F939" s="3" t="s">
        <v>30</v>
      </c>
      <c r="G939" s="3" t="s">
        <v>35</v>
      </c>
      <c r="H939" s="3" t="s">
        <v>59</v>
      </c>
      <c r="I939" s="3">
        <v>144.66999999999999</v>
      </c>
      <c r="J939" s="3">
        <v>1</v>
      </c>
      <c r="K939" s="3">
        <v>-14.290100000000001</v>
      </c>
    </row>
    <row r="940" spans="1:11" ht="15.6" x14ac:dyDescent="0.3">
      <c r="A940" s="7">
        <v>42768</v>
      </c>
      <c r="B940" s="8">
        <f>YEAR(A940)</f>
        <v>2017</v>
      </c>
      <c r="C940" s="8">
        <f>MONTH(A940)</f>
        <v>2</v>
      </c>
      <c r="D940" s="3" t="s">
        <v>10</v>
      </c>
      <c r="E940" s="3" t="s">
        <v>22</v>
      </c>
      <c r="F940" s="3" t="s">
        <v>31</v>
      </c>
      <c r="G940" s="3" t="s">
        <v>38</v>
      </c>
      <c r="H940" s="3" t="s">
        <v>63</v>
      </c>
      <c r="I940" s="3">
        <v>96.46</v>
      </c>
      <c r="J940" s="3">
        <v>1</v>
      </c>
      <c r="K940" s="3">
        <v>-1.4410000000000001</v>
      </c>
    </row>
    <row r="941" spans="1:11" ht="15.6" x14ac:dyDescent="0.3">
      <c r="A941" s="7">
        <v>42769</v>
      </c>
      <c r="B941" s="8">
        <f>YEAR(A941)</f>
        <v>2017</v>
      </c>
      <c r="C941" s="8">
        <f>MONTH(A941)</f>
        <v>2</v>
      </c>
      <c r="D941" s="3" t="s">
        <v>10</v>
      </c>
      <c r="E941" s="3" t="s">
        <v>26</v>
      </c>
      <c r="F941" s="3" t="s">
        <v>31</v>
      </c>
      <c r="G941" s="3" t="s">
        <v>39</v>
      </c>
      <c r="H941" s="3" t="s">
        <v>54</v>
      </c>
      <c r="I941" s="3">
        <v>866.4</v>
      </c>
      <c r="J941" s="3">
        <v>4</v>
      </c>
      <c r="K941" s="3">
        <v>-67.1006</v>
      </c>
    </row>
    <row r="942" spans="1:11" ht="15.6" x14ac:dyDescent="0.3">
      <c r="A942" s="7">
        <v>42769</v>
      </c>
      <c r="B942" s="8">
        <f>YEAR(A942)</f>
        <v>2017</v>
      </c>
      <c r="C942" s="8">
        <f>MONTH(A942)</f>
        <v>2</v>
      </c>
      <c r="D942" s="3" t="s">
        <v>17</v>
      </c>
      <c r="E942" s="3" t="s">
        <v>28</v>
      </c>
      <c r="F942" s="3" t="s">
        <v>30</v>
      </c>
      <c r="G942" s="3" t="s">
        <v>33</v>
      </c>
      <c r="H942" s="3" t="s">
        <v>60</v>
      </c>
      <c r="I942" s="3">
        <v>422.96</v>
      </c>
      <c r="J942" s="3">
        <v>3</v>
      </c>
      <c r="K942" s="3">
        <v>96.536500000000004</v>
      </c>
    </row>
    <row r="943" spans="1:11" ht="15.6" x14ac:dyDescent="0.3">
      <c r="A943" s="7">
        <v>42769</v>
      </c>
      <c r="B943" s="8">
        <f>YEAR(A943)</f>
        <v>2017</v>
      </c>
      <c r="C943" s="8">
        <f>MONTH(A943)</f>
        <v>2</v>
      </c>
      <c r="D943" s="3" t="s">
        <v>9</v>
      </c>
      <c r="E943" s="3" t="s">
        <v>21</v>
      </c>
      <c r="F943" s="3" t="s">
        <v>31</v>
      </c>
      <c r="G943" s="3" t="s">
        <v>43</v>
      </c>
      <c r="H943" s="3" t="s">
        <v>68</v>
      </c>
      <c r="I943" s="3">
        <v>189.19</v>
      </c>
      <c r="J943" s="3">
        <v>5</v>
      </c>
      <c r="K943" s="3">
        <v>-29.901499999999999</v>
      </c>
    </row>
    <row r="944" spans="1:11" ht="15.6" x14ac:dyDescent="0.3">
      <c r="A944" s="7">
        <v>42770</v>
      </c>
      <c r="B944" s="8">
        <f>YEAR(A944)</f>
        <v>2017</v>
      </c>
      <c r="C944" s="8">
        <f>MONTH(A944)</f>
        <v>2</v>
      </c>
      <c r="D944" s="3" t="s">
        <v>11</v>
      </c>
      <c r="E944" s="3" t="s">
        <v>22</v>
      </c>
      <c r="F944" s="3" t="s">
        <v>31</v>
      </c>
      <c r="G944" s="3" t="s">
        <v>36</v>
      </c>
      <c r="H944" s="3" t="s">
        <v>50</v>
      </c>
      <c r="I944" s="3">
        <v>69.290000000000006</v>
      </c>
      <c r="J944" s="3">
        <v>5</v>
      </c>
      <c r="K944" s="3">
        <v>-17.162099999999999</v>
      </c>
    </row>
    <row r="945" spans="1:11" ht="15.6" x14ac:dyDescent="0.3">
      <c r="A945" s="7">
        <v>42770</v>
      </c>
      <c r="B945" s="8">
        <f>YEAR(A945)</f>
        <v>2017</v>
      </c>
      <c r="C945" s="8">
        <f>MONTH(A945)</f>
        <v>2</v>
      </c>
      <c r="D945" s="3" t="s">
        <v>17</v>
      </c>
      <c r="E945" s="3" t="s">
        <v>25</v>
      </c>
      <c r="F945" s="3" t="s">
        <v>31</v>
      </c>
      <c r="G945" s="3" t="s">
        <v>38</v>
      </c>
      <c r="H945" s="3" t="s">
        <v>53</v>
      </c>
      <c r="I945" s="3">
        <v>984.99</v>
      </c>
      <c r="J945" s="3">
        <v>7</v>
      </c>
      <c r="K945" s="3">
        <v>-131.5154</v>
      </c>
    </row>
    <row r="946" spans="1:11" ht="15.6" x14ac:dyDescent="0.3">
      <c r="A946" s="7">
        <v>42773</v>
      </c>
      <c r="B946" s="8">
        <f>YEAR(A946)</f>
        <v>2017</v>
      </c>
      <c r="C946" s="8">
        <f>MONTH(A946)</f>
        <v>2</v>
      </c>
      <c r="D946" s="3" t="s">
        <v>10</v>
      </c>
      <c r="E946" s="3" t="s">
        <v>25</v>
      </c>
      <c r="F946" s="3" t="s">
        <v>31</v>
      </c>
      <c r="G946" s="3" t="s">
        <v>39</v>
      </c>
      <c r="H946" s="3" t="s">
        <v>54</v>
      </c>
      <c r="I946" s="3">
        <v>354.1</v>
      </c>
      <c r="J946" s="3">
        <v>3</v>
      </c>
      <c r="K946" s="3">
        <v>27.7622</v>
      </c>
    </row>
    <row r="947" spans="1:11" ht="15.6" x14ac:dyDescent="0.3">
      <c r="A947" s="7">
        <v>42773</v>
      </c>
      <c r="B947" s="8">
        <f>YEAR(A947)</f>
        <v>2017</v>
      </c>
      <c r="C947" s="8">
        <f>MONTH(A947)</f>
        <v>2</v>
      </c>
      <c r="D947" s="3" t="s">
        <v>12</v>
      </c>
      <c r="E947" s="3" t="s">
        <v>24</v>
      </c>
      <c r="F947" s="3" t="s">
        <v>31</v>
      </c>
      <c r="G947" s="3" t="s">
        <v>39</v>
      </c>
      <c r="H947" s="3" t="s">
        <v>54</v>
      </c>
      <c r="I947" s="3">
        <v>723.19</v>
      </c>
      <c r="J947" s="3">
        <v>10</v>
      </c>
      <c r="K947" s="3">
        <v>-134.7371</v>
      </c>
    </row>
    <row r="948" spans="1:11" ht="15.6" x14ac:dyDescent="0.3">
      <c r="A948" s="7">
        <v>42773</v>
      </c>
      <c r="B948" s="8">
        <f>YEAR(A948)</f>
        <v>2017</v>
      </c>
      <c r="C948" s="8">
        <f>MONTH(A948)</f>
        <v>2</v>
      </c>
      <c r="D948" s="3" t="s">
        <v>15</v>
      </c>
      <c r="E948" s="3" t="s">
        <v>21</v>
      </c>
      <c r="F948" s="3" t="s">
        <v>31</v>
      </c>
      <c r="G948" s="3" t="s">
        <v>38</v>
      </c>
      <c r="H948" s="3" t="s">
        <v>63</v>
      </c>
      <c r="I948" s="3">
        <v>77.88</v>
      </c>
      <c r="J948" s="3">
        <v>7</v>
      </c>
      <c r="K948" s="3">
        <v>16.651</v>
      </c>
    </row>
    <row r="949" spans="1:11" ht="15.6" x14ac:dyDescent="0.3">
      <c r="A949" s="7">
        <v>42773</v>
      </c>
      <c r="B949" s="8">
        <f>YEAR(A949)</f>
        <v>2017</v>
      </c>
      <c r="C949" s="8">
        <f>MONTH(A949)</f>
        <v>2</v>
      </c>
      <c r="D949" s="3" t="s">
        <v>11</v>
      </c>
      <c r="E949" s="3" t="s">
        <v>21</v>
      </c>
      <c r="F949" s="3" t="s">
        <v>31</v>
      </c>
      <c r="G949" s="3" t="s">
        <v>36</v>
      </c>
      <c r="H949" s="3" t="s">
        <v>50</v>
      </c>
      <c r="I949" s="3">
        <v>1048.8900000000001</v>
      </c>
      <c r="J949" s="3">
        <v>6</v>
      </c>
      <c r="K949" s="3">
        <v>295.70639999999997</v>
      </c>
    </row>
    <row r="950" spans="1:11" ht="15.6" x14ac:dyDescent="0.3">
      <c r="A950" s="7">
        <v>42774</v>
      </c>
      <c r="B950" s="8">
        <f>YEAR(A950)</f>
        <v>2017</v>
      </c>
      <c r="C950" s="8">
        <f>MONTH(A950)</f>
        <v>2</v>
      </c>
      <c r="D950" s="3" t="s">
        <v>9</v>
      </c>
      <c r="E950" s="3" t="s">
        <v>27</v>
      </c>
      <c r="F950" s="3" t="s">
        <v>30</v>
      </c>
      <c r="G950" s="3" t="s">
        <v>35</v>
      </c>
      <c r="H950" s="3" t="s">
        <v>66</v>
      </c>
      <c r="I950" s="3">
        <v>867.84</v>
      </c>
      <c r="J950" s="3">
        <v>9</v>
      </c>
      <c r="K950" s="3">
        <v>-174.48050000000001</v>
      </c>
    </row>
    <row r="951" spans="1:11" ht="15.6" x14ac:dyDescent="0.3">
      <c r="A951" s="7">
        <v>42775</v>
      </c>
      <c r="B951" s="8">
        <f>YEAR(A951)</f>
        <v>2017</v>
      </c>
      <c r="C951" s="8">
        <f>MONTH(A951)</f>
        <v>2</v>
      </c>
      <c r="D951" s="3" t="s">
        <v>18</v>
      </c>
      <c r="E951" s="3" t="s">
        <v>23</v>
      </c>
      <c r="F951" s="3" t="s">
        <v>29</v>
      </c>
      <c r="G951" s="3" t="s">
        <v>41</v>
      </c>
      <c r="H951" s="3" t="s">
        <v>57</v>
      </c>
      <c r="I951" s="3">
        <v>52</v>
      </c>
      <c r="J951" s="3">
        <v>7</v>
      </c>
      <c r="K951" s="3">
        <v>4.9686000000000003</v>
      </c>
    </row>
    <row r="952" spans="1:11" ht="15.6" x14ac:dyDescent="0.3">
      <c r="A952" s="7">
        <v>42776</v>
      </c>
      <c r="B952" s="8">
        <f>YEAR(A952)</f>
        <v>2017</v>
      </c>
      <c r="C952" s="8">
        <f>MONTH(A952)</f>
        <v>2</v>
      </c>
      <c r="D952" s="3" t="s">
        <v>9</v>
      </c>
      <c r="E952" s="3" t="s">
        <v>26</v>
      </c>
      <c r="F952" s="3" t="s">
        <v>29</v>
      </c>
      <c r="G952" s="3" t="s">
        <v>32</v>
      </c>
      <c r="H952" s="3" t="s">
        <v>52</v>
      </c>
      <c r="I952" s="3">
        <v>121.7</v>
      </c>
      <c r="J952" s="3">
        <v>8</v>
      </c>
      <c r="K952" s="3">
        <v>-32.599699999999999</v>
      </c>
    </row>
    <row r="953" spans="1:11" ht="15.6" x14ac:dyDescent="0.3">
      <c r="A953" s="7">
        <v>42777</v>
      </c>
      <c r="B953" s="8">
        <f>YEAR(A953)</f>
        <v>2017</v>
      </c>
      <c r="C953" s="8">
        <f>MONTH(A953)</f>
        <v>2</v>
      </c>
      <c r="D953" s="3" t="s">
        <v>9</v>
      </c>
      <c r="E953" s="3" t="s">
        <v>24</v>
      </c>
      <c r="F953" s="3" t="s">
        <v>29</v>
      </c>
      <c r="G953" s="3" t="s">
        <v>32</v>
      </c>
      <c r="H953" s="3" t="s">
        <v>52</v>
      </c>
      <c r="I953" s="3">
        <v>911.01</v>
      </c>
      <c r="J953" s="3">
        <v>8</v>
      </c>
      <c r="K953" s="3">
        <v>76.914000000000001</v>
      </c>
    </row>
    <row r="954" spans="1:11" ht="15.6" x14ac:dyDescent="0.3">
      <c r="A954" s="7">
        <v>42777</v>
      </c>
      <c r="B954" s="8">
        <f>YEAR(A954)</f>
        <v>2017</v>
      </c>
      <c r="C954" s="8">
        <f>MONTH(A954)</f>
        <v>2</v>
      </c>
      <c r="D954" s="3" t="s">
        <v>11</v>
      </c>
      <c r="E954" s="3" t="s">
        <v>21</v>
      </c>
      <c r="F954" s="3" t="s">
        <v>31</v>
      </c>
      <c r="G954" s="3" t="s">
        <v>38</v>
      </c>
      <c r="H954" s="3" t="s">
        <v>53</v>
      </c>
      <c r="I954" s="3">
        <v>645.38</v>
      </c>
      <c r="J954" s="3">
        <v>4</v>
      </c>
      <c r="K954" s="3">
        <v>21.328700000000001</v>
      </c>
    </row>
    <row r="955" spans="1:11" ht="15.6" x14ac:dyDescent="0.3">
      <c r="A955" s="7">
        <v>42780</v>
      </c>
      <c r="B955" s="8">
        <f>YEAR(A955)</f>
        <v>2017</v>
      </c>
      <c r="C955" s="8">
        <f>MONTH(A955)</f>
        <v>2</v>
      </c>
      <c r="D955" s="3" t="s">
        <v>14</v>
      </c>
      <c r="E955" s="3" t="s">
        <v>25</v>
      </c>
      <c r="F955" s="3" t="s">
        <v>31</v>
      </c>
      <c r="G955" s="3" t="s">
        <v>36</v>
      </c>
      <c r="H955" s="3" t="s">
        <v>50</v>
      </c>
      <c r="I955" s="3">
        <v>267.44</v>
      </c>
      <c r="J955" s="3">
        <v>6</v>
      </c>
      <c r="K955" s="3">
        <v>62.083199999999998</v>
      </c>
    </row>
    <row r="956" spans="1:11" ht="15.6" x14ac:dyDescent="0.3">
      <c r="A956" s="7">
        <v>42780</v>
      </c>
      <c r="B956" s="8">
        <f>YEAR(A956)</f>
        <v>2017</v>
      </c>
      <c r="C956" s="8">
        <f>MONTH(A956)</f>
        <v>2</v>
      </c>
      <c r="D956" s="3" t="s">
        <v>18</v>
      </c>
      <c r="E956" s="3" t="s">
        <v>28</v>
      </c>
      <c r="F956" s="3" t="s">
        <v>30</v>
      </c>
      <c r="G956" s="3" t="s">
        <v>42</v>
      </c>
      <c r="H956" s="3" t="s">
        <v>69</v>
      </c>
      <c r="I956" s="3">
        <v>793</v>
      </c>
      <c r="J956" s="3">
        <v>5</v>
      </c>
      <c r="K956" s="3">
        <v>208.97550000000001</v>
      </c>
    </row>
    <row r="957" spans="1:11" ht="15.6" x14ac:dyDescent="0.3">
      <c r="A957" s="7">
        <v>42781</v>
      </c>
      <c r="B957" s="8">
        <f>YEAR(A957)</f>
        <v>2017</v>
      </c>
      <c r="C957" s="8">
        <f>MONTH(A957)</f>
        <v>2</v>
      </c>
      <c r="D957" s="3" t="s">
        <v>11</v>
      </c>
      <c r="E957" s="3" t="s">
        <v>24</v>
      </c>
      <c r="F957" s="3" t="s">
        <v>29</v>
      </c>
      <c r="G957" s="3" t="s">
        <v>32</v>
      </c>
      <c r="H957" s="3" t="s">
        <v>48</v>
      </c>
      <c r="I957" s="3">
        <v>985.05</v>
      </c>
      <c r="J957" s="3">
        <v>4</v>
      </c>
      <c r="K957" s="3">
        <v>-357.87939999999998</v>
      </c>
    </row>
    <row r="958" spans="1:11" ht="15.6" x14ac:dyDescent="0.3">
      <c r="A958" s="7">
        <v>42782</v>
      </c>
      <c r="B958" s="8">
        <f>YEAR(A958)</f>
        <v>2017</v>
      </c>
      <c r="C958" s="8">
        <f>MONTH(A958)</f>
        <v>2</v>
      </c>
      <c r="D958" s="3" t="s">
        <v>17</v>
      </c>
      <c r="E958" s="3" t="s">
        <v>23</v>
      </c>
      <c r="F958" s="3" t="s">
        <v>30</v>
      </c>
      <c r="G958" s="3" t="s">
        <v>35</v>
      </c>
      <c r="H958" s="3" t="s">
        <v>49</v>
      </c>
      <c r="I958" s="3">
        <v>918.51</v>
      </c>
      <c r="J958" s="3">
        <v>10</v>
      </c>
      <c r="K958" s="3">
        <v>43.257399999999997</v>
      </c>
    </row>
    <row r="959" spans="1:11" ht="15.6" x14ac:dyDescent="0.3">
      <c r="A959" s="7">
        <v>42782</v>
      </c>
      <c r="B959" s="8">
        <f>YEAR(A959)</f>
        <v>2017</v>
      </c>
      <c r="C959" s="8">
        <f>MONTH(A959)</f>
        <v>2</v>
      </c>
      <c r="D959" s="3" t="s">
        <v>9</v>
      </c>
      <c r="E959" s="3" t="s">
        <v>28</v>
      </c>
      <c r="F959" s="3" t="s">
        <v>29</v>
      </c>
      <c r="G959" s="3" t="s">
        <v>41</v>
      </c>
      <c r="H959" s="3" t="s">
        <v>65</v>
      </c>
      <c r="I959" s="3">
        <v>893.46</v>
      </c>
      <c r="J959" s="3">
        <v>7</v>
      </c>
      <c r="K959" s="3">
        <v>193.45189999999999</v>
      </c>
    </row>
    <row r="960" spans="1:11" ht="15.6" x14ac:dyDescent="0.3">
      <c r="A960" s="7">
        <v>42785</v>
      </c>
      <c r="B960" s="8">
        <f>YEAR(A960)</f>
        <v>2017</v>
      </c>
      <c r="C960" s="8">
        <f>MONTH(A960)</f>
        <v>2</v>
      </c>
      <c r="D960" s="3" t="s">
        <v>9</v>
      </c>
      <c r="E960" s="3" t="s">
        <v>20</v>
      </c>
      <c r="F960" s="3" t="s">
        <v>29</v>
      </c>
      <c r="G960" s="3" t="s">
        <v>32</v>
      </c>
      <c r="H960" s="3" t="s">
        <v>48</v>
      </c>
      <c r="I960" s="3">
        <v>1098.44</v>
      </c>
      <c r="J960" s="3">
        <v>6</v>
      </c>
      <c r="K960" s="3">
        <v>-153.1156</v>
      </c>
    </row>
    <row r="961" spans="1:11" ht="15.6" x14ac:dyDescent="0.3">
      <c r="A961" s="7">
        <v>42786</v>
      </c>
      <c r="B961" s="8">
        <f>YEAR(A961)</f>
        <v>2017</v>
      </c>
      <c r="C961" s="8">
        <f>MONTH(A961)</f>
        <v>2</v>
      </c>
      <c r="D961" s="3" t="s">
        <v>11</v>
      </c>
      <c r="E961" s="3" t="s">
        <v>27</v>
      </c>
      <c r="F961" s="3" t="s">
        <v>29</v>
      </c>
      <c r="G961" s="3" t="s">
        <v>41</v>
      </c>
      <c r="H961" s="3" t="s">
        <v>57</v>
      </c>
      <c r="I961" s="3">
        <v>985.8</v>
      </c>
      <c r="J961" s="3">
        <v>6</v>
      </c>
      <c r="K961" s="3">
        <v>-313.21449999999999</v>
      </c>
    </row>
    <row r="962" spans="1:11" ht="15.6" x14ac:dyDescent="0.3">
      <c r="A962" s="7">
        <v>42790</v>
      </c>
      <c r="B962" s="8">
        <f>YEAR(A962)</f>
        <v>2017</v>
      </c>
      <c r="C962" s="8">
        <f>MONTH(A962)</f>
        <v>2</v>
      </c>
      <c r="D962" s="3" t="s">
        <v>13</v>
      </c>
      <c r="E962" s="3" t="s">
        <v>28</v>
      </c>
      <c r="F962" s="3" t="s">
        <v>29</v>
      </c>
      <c r="G962" s="3" t="s">
        <v>32</v>
      </c>
      <c r="H962" s="3" t="s">
        <v>44</v>
      </c>
      <c r="I962" s="3">
        <v>833.8</v>
      </c>
      <c r="J962" s="3">
        <v>10</v>
      </c>
      <c r="K962" s="3">
        <v>158.62530000000001</v>
      </c>
    </row>
    <row r="963" spans="1:11" ht="15.6" x14ac:dyDescent="0.3">
      <c r="A963" s="7">
        <v>42791</v>
      </c>
      <c r="B963" s="8">
        <f>YEAR(A963)</f>
        <v>2017</v>
      </c>
      <c r="C963" s="8">
        <f>MONTH(A963)</f>
        <v>2</v>
      </c>
      <c r="D963" s="3" t="s">
        <v>18</v>
      </c>
      <c r="E963" s="3" t="s">
        <v>23</v>
      </c>
      <c r="F963" s="3" t="s">
        <v>31</v>
      </c>
      <c r="G963" s="3" t="s">
        <v>43</v>
      </c>
      <c r="H963" s="3" t="s">
        <v>62</v>
      </c>
      <c r="I963" s="3">
        <v>850.03</v>
      </c>
      <c r="J963" s="3">
        <v>6</v>
      </c>
      <c r="K963" s="3">
        <v>283.49939999999998</v>
      </c>
    </row>
    <row r="964" spans="1:11" ht="15.6" x14ac:dyDescent="0.3">
      <c r="A964" s="7">
        <v>42793</v>
      </c>
      <c r="B964" s="8">
        <f>YEAR(A964)</f>
        <v>2017</v>
      </c>
      <c r="C964" s="8">
        <f>MONTH(A964)</f>
        <v>2</v>
      </c>
      <c r="D964" s="3" t="s">
        <v>15</v>
      </c>
      <c r="E964" s="3" t="s">
        <v>26</v>
      </c>
      <c r="F964" s="3" t="s">
        <v>30</v>
      </c>
      <c r="G964" s="3" t="s">
        <v>37</v>
      </c>
      <c r="H964" s="3" t="s">
        <v>64</v>
      </c>
      <c r="I964" s="3">
        <v>1138.3</v>
      </c>
      <c r="J964" s="3">
        <v>8</v>
      </c>
      <c r="K964" s="3">
        <v>7.5053000000000001</v>
      </c>
    </row>
    <row r="965" spans="1:11" ht="15.6" x14ac:dyDescent="0.3">
      <c r="A965" s="7">
        <v>42793</v>
      </c>
      <c r="B965" s="8">
        <f>YEAR(A965)</f>
        <v>2017</v>
      </c>
      <c r="C965" s="8">
        <f>MONTH(A965)</f>
        <v>2</v>
      </c>
      <c r="D965" s="3" t="s">
        <v>10</v>
      </c>
      <c r="E965" s="3" t="s">
        <v>26</v>
      </c>
      <c r="F965" s="3" t="s">
        <v>31</v>
      </c>
      <c r="G965" s="3" t="s">
        <v>36</v>
      </c>
      <c r="H965" s="3" t="s">
        <v>50</v>
      </c>
      <c r="I965" s="3">
        <v>582.94000000000005</v>
      </c>
      <c r="J965" s="3">
        <v>4</v>
      </c>
      <c r="K965" s="3">
        <v>97.995099999999994</v>
      </c>
    </row>
    <row r="966" spans="1:11" ht="15.6" x14ac:dyDescent="0.3">
      <c r="A966" s="7">
        <v>42794</v>
      </c>
      <c r="B966" s="8">
        <f>YEAR(A966)</f>
        <v>2017</v>
      </c>
      <c r="C966" s="8">
        <f>MONTH(A966)</f>
        <v>2</v>
      </c>
      <c r="D966" s="3" t="s">
        <v>9</v>
      </c>
      <c r="E966" s="3" t="s">
        <v>25</v>
      </c>
      <c r="F966" s="3" t="s">
        <v>29</v>
      </c>
      <c r="G966" s="3" t="s">
        <v>32</v>
      </c>
      <c r="H966" s="3" t="s">
        <v>52</v>
      </c>
      <c r="I966" s="3">
        <v>913.05</v>
      </c>
      <c r="J966" s="3">
        <v>8</v>
      </c>
      <c r="K966" s="3">
        <v>101.21169999999999</v>
      </c>
    </row>
    <row r="967" spans="1:11" ht="15.6" x14ac:dyDescent="0.3">
      <c r="A967" s="7">
        <v>42794</v>
      </c>
      <c r="B967" s="8">
        <f>YEAR(A967)</f>
        <v>2017</v>
      </c>
      <c r="C967" s="8">
        <f>MONTH(A967)</f>
        <v>2</v>
      </c>
      <c r="D967" s="3" t="s">
        <v>11</v>
      </c>
      <c r="E967" s="3" t="s">
        <v>26</v>
      </c>
      <c r="F967" s="3" t="s">
        <v>29</v>
      </c>
      <c r="G967" s="3" t="s">
        <v>32</v>
      </c>
      <c r="H967" s="3" t="s">
        <v>48</v>
      </c>
      <c r="I967" s="3">
        <v>316.23</v>
      </c>
      <c r="J967" s="3">
        <v>8</v>
      </c>
      <c r="K967" s="3">
        <v>10.6272</v>
      </c>
    </row>
    <row r="968" spans="1:11" ht="15.6" x14ac:dyDescent="0.3">
      <c r="A968" s="7">
        <v>42797</v>
      </c>
      <c r="B968" s="8">
        <f>YEAR(A968)</f>
        <v>2017</v>
      </c>
      <c r="C968" s="8">
        <f>MONTH(A968)</f>
        <v>3</v>
      </c>
      <c r="D968" s="3" t="s">
        <v>13</v>
      </c>
      <c r="E968" s="3" t="s">
        <v>28</v>
      </c>
      <c r="F968" s="3" t="s">
        <v>31</v>
      </c>
      <c r="G968" s="3" t="s">
        <v>43</v>
      </c>
      <c r="H968" s="3" t="s">
        <v>62</v>
      </c>
      <c r="I968" s="3">
        <v>41.88</v>
      </c>
      <c r="J968" s="3">
        <v>4</v>
      </c>
      <c r="K968" s="3">
        <v>-7.5774999999999997</v>
      </c>
    </row>
    <row r="969" spans="1:11" ht="15.6" x14ac:dyDescent="0.3">
      <c r="A969" s="7">
        <v>42797</v>
      </c>
      <c r="B969" s="8">
        <f>YEAR(A969)</f>
        <v>2017</v>
      </c>
      <c r="C969" s="8">
        <f>MONTH(A969)</f>
        <v>3</v>
      </c>
      <c r="D969" s="3" t="s">
        <v>15</v>
      </c>
      <c r="E969" s="3" t="s">
        <v>23</v>
      </c>
      <c r="F969" s="3" t="s">
        <v>31</v>
      </c>
      <c r="G969" s="3" t="s">
        <v>34</v>
      </c>
      <c r="H969" s="3" t="s">
        <v>46</v>
      </c>
      <c r="I969" s="3">
        <v>875.61</v>
      </c>
      <c r="J969" s="3">
        <v>8</v>
      </c>
      <c r="K969" s="3">
        <v>-127.8274</v>
      </c>
    </row>
    <row r="970" spans="1:11" ht="15.6" x14ac:dyDescent="0.3">
      <c r="A970" s="7">
        <v>42798</v>
      </c>
      <c r="B970" s="8">
        <f>YEAR(A970)</f>
        <v>2017</v>
      </c>
      <c r="C970" s="8">
        <f>MONTH(A970)</f>
        <v>3</v>
      </c>
      <c r="D970" s="3" t="s">
        <v>12</v>
      </c>
      <c r="E970" s="3" t="s">
        <v>20</v>
      </c>
      <c r="F970" s="3" t="s">
        <v>31</v>
      </c>
      <c r="G970" s="3" t="s">
        <v>36</v>
      </c>
      <c r="H970" s="3" t="s">
        <v>50</v>
      </c>
      <c r="I970" s="3">
        <v>1172.9100000000001</v>
      </c>
      <c r="J970" s="3">
        <v>2</v>
      </c>
      <c r="K970" s="3">
        <v>317.96820000000002</v>
      </c>
    </row>
    <row r="971" spans="1:11" ht="15.6" x14ac:dyDescent="0.3">
      <c r="A971" s="7">
        <v>42799</v>
      </c>
      <c r="B971" s="8">
        <f>YEAR(A971)</f>
        <v>2017</v>
      </c>
      <c r="C971" s="8">
        <f>MONTH(A971)</f>
        <v>3</v>
      </c>
      <c r="D971" s="3" t="s">
        <v>16</v>
      </c>
      <c r="E971" s="3" t="s">
        <v>27</v>
      </c>
      <c r="F971" s="3" t="s">
        <v>29</v>
      </c>
      <c r="G971" s="3" t="s">
        <v>40</v>
      </c>
      <c r="H971" s="3" t="s">
        <v>61</v>
      </c>
      <c r="I971" s="3">
        <v>1023.64</v>
      </c>
      <c r="J971" s="3">
        <v>6</v>
      </c>
      <c r="K971" s="3">
        <v>277.01339999999999</v>
      </c>
    </row>
    <row r="972" spans="1:11" ht="15.6" x14ac:dyDescent="0.3">
      <c r="A972" s="7">
        <v>42801</v>
      </c>
      <c r="B972" s="8">
        <f>YEAR(A972)</f>
        <v>2017</v>
      </c>
      <c r="C972" s="8">
        <f>MONTH(A972)</f>
        <v>3</v>
      </c>
      <c r="D972" s="3" t="s">
        <v>12</v>
      </c>
      <c r="E972" s="3" t="s">
        <v>19</v>
      </c>
      <c r="F972" s="3" t="s">
        <v>29</v>
      </c>
      <c r="G972" s="3" t="s">
        <v>40</v>
      </c>
      <c r="H972" s="3" t="s">
        <v>56</v>
      </c>
      <c r="I972" s="3">
        <v>736.77</v>
      </c>
      <c r="J972" s="3">
        <v>10</v>
      </c>
      <c r="K972" s="3">
        <v>-166.4092</v>
      </c>
    </row>
    <row r="973" spans="1:11" ht="15.6" x14ac:dyDescent="0.3">
      <c r="A973" s="7">
        <v>42801</v>
      </c>
      <c r="B973" s="8">
        <f>YEAR(A973)</f>
        <v>2017</v>
      </c>
      <c r="C973" s="8">
        <f>MONTH(A973)</f>
        <v>3</v>
      </c>
      <c r="D973" s="3" t="s">
        <v>11</v>
      </c>
      <c r="E973" s="3" t="s">
        <v>22</v>
      </c>
      <c r="F973" s="3" t="s">
        <v>29</v>
      </c>
      <c r="G973" s="3" t="s">
        <v>32</v>
      </c>
      <c r="H973" s="3" t="s">
        <v>44</v>
      </c>
      <c r="I973" s="3">
        <v>644.69000000000005</v>
      </c>
      <c r="J973" s="3">
        <v>6</v>
      </c>
      <c r="K973" s="3">
        <v>-96.652100000000004</v>
      </c>
    </row>
    <row r="974" spans="1:11" ht="15.6" x14ac:dyDescent="0.3">
      <c r="A974" s="7">
        <v>42802</v>
      </c>
      <c r="B974" s="8">
        <f>YEAR(A974)</f>
        <v>2017</v>
      </c>
      <c r="C974" s="8">
        <f>MONTH(A974)</f>
        <v>3</v>
      </c>
      <c r="D974" s="3" t="s">
        <v>12</v>
      </c>
      <c r="E974" s="3" t="s">
        <v>19</v>
      </c>
      <c r="F974" s="3" t="s">
        <v>29</v>
      </c>
      <c r="G974" s="3" t="s">
        <v>32</v>
      </c>
      <c r="H974" s="3" t="s">
        <v>52</v>
      </c>
      <c r="I974" s="3">
        <v>810.91</v>
      </c>
      <c r="J974" s="3">
        <v>4</v>
      </c>
      <c r="K974" s="3">
        <v>-217.6311</v>
      </c>
    </row>
    <row r="975" spans="1:11" ht="15.6" x14ac:dyDescent="0.3">
      <c r="A975" s="7">
        <v>42803</v>
      </c>
      <c r="B975" s="8">
        <f>YEAR(A975)</f>
        <v>2017</v>
      </c>
      <c r="C975" s="8">
        <f>MONTH(A975)</f>
        <v>3</v>
      </c>
      <c r="D975" s="3" t="s">
        <v>10</v>
      </c>
      <c r="E975" s="3" t="s">
        <v>26</v>
      </c>
      <c r="F975" s="3" t="s">
        <v>31</v>
      </c>
      <c r="G975" s="3" t="s">
        <v>39</v>
      </c>
      <c r="H975" s="3" t="s">
        <v>54</v>
      </c>
      <c r="I975" s="3">
        <v>582.51</v>
      </c>
      <c r="J975" s="3">
        <v>6</v>
      </c>
      <c r="K975" s="3">
        <v>-183.56450000000001</v>
      </c>
    </row>
    <row r="976" spans="1:11" ht="15.6" x14ac:dyDescent="0.3">
      <c r="A976" s="7">
        <v>42803</v>
      </c>
      <c r="B976" s="8">
        <f>YEAR(A976)</f>
        <v>2017</v>
      </c>
      <c r="C976" s="8">
        <f>MONTH(A976)</f>
        <v>3</v>
      </c>
      <c r="D976" s="3" t="s">
        <v>17</v>
      </c>
      <c r="E976" s="3" t="s">
        <v>20</v>
      </c>
      <c r="F976" s="3" t="s">
        <v>30</v>
      </c>
      <c r="G976" s="3" t="s">
        <v>35</v>
      </c>
      <c r="H976" s="3" t="s">
        <v>66</v>
      </c>
      <c r="I976" s="3">
        <v>491.06</v>
      </c>
      <c r="J976" s="3">
        <v>2</v>
      </c>
      <c r="K976" s="3">
        <v>115.2559</v>
      </c>
    </row>
    <row r="977" spans="1:11" ht="15.6" x14ac:dyDescent="0.3">
      <c r="A977" s="7">
        <v>42804</v>
      </c>
      <c r="B977" s="8">
        <f>YEAR(A977)</f>
        <v>2017</v>
      </c>
      <c r="C977" s="8">
        <f>MONTH(A977)</f>
        <v>3</v>
      </c>
      <c r="D977" s="3" t="s">
        <v>11</v>
      </c>
      <c r="E977" s="3" t="s">
        <v>27</v>
      </c>
      <c r="F977" s="3" t="s">
        <v>31</v>
      </c>
      <c r="G977" s="3" t="s">
        <v>43</v>
      </c>
      <c r="H977" s="3" t="s">
        <v>68</v>
      </c>
      <c r="I977" s="3">
        <v>507.93</v>
      </c>
      <c r="J977" s="3">
        <v>9</v>
      </c>
      <c r="K977" s="3">
        <v>56.993099999999998</v>
      </c>
    </row>
    <row r="978" spans="1:11" ht="15.6" x14ac:dyDescent="0.3">
      <c r="A978" s="7">
        <v>42804</v>
      </c>
      <c r="B978" s="8">
        <f>YEAR(A978)</f>
        <v>2017</v>
      </c>
      <c r="C978" s="8">
        <f>MONTH(A978)</f>
        <v>3</v>
      </c>
      <c r="D978" s="3" t="s">
        <v>10</v>
      </c>
      <c r="E978" s="3" t="s">
        <v>22</v>
      </c>
      <c r="F978" s="3" t="s">
        <v>31</v>
      </c>
      <c r="G978" s="3" t="s">
        <v>39</v>
      </c>
      <c r="H978" s="3" t="s">
        <v>71</v>
      </c>
      <c r="I978" s="3">
        <v>976.33</v>
      </c>
      <c r="J978" s="3">
        <v>6</v>
      </c>
      <c r="K978" s="3">
        <v>-203.91130000000001</v>
      </c>
    </row>
    <row r="979" spans="1:11" ht="15.6" x14ac:dyDescent="0.3">
      <c r="A979" s="7">
        <v>42805</v>
      </c>
      <c r="B979" s="8">
        <f>YEAR(A979)</f>
        <v>2017</v>
      </c>
      <c r="C979" s="8">
        <f>MONTH(A979)</f>
        <v>3</v>
      </c>
      <c r="D979" s="3" t="s">
        <v>11</v>
      </c>
      <c r="E979" s="3" t="s">
        <v>27</v>
      </c>
      <c r="F979" s="3" t="s">
        <v>30</v>
      </c>
      <c r="G979" s="3" t="s">
        <v>33</v>
      </c>
      <c r="H979" s="3" t="s">
        <v>55</v>
      </c>
      <c r="I979" s="3">
        <v>159.54</v>
      </c>
      <c r="J979" s="3">
        <v>1</v>
      </c>
      <c r="K979" s="3">
        <v>32.0944</v>
      </c>
    </row>
    <row r="980" spans="1:11" ht="15.6" x14ac:dyDescent="0.3">
      <c r="A980" s="7">
        <v>42812</v>
      </c>
      <c r="B980" s="8">
        <f>YEAR(A980)</f>
        <v>2017</v>
      </c>
      <c r="C980" s="8">
        <f>MONTH(A980)</f>
        <v>3</v>
      </c>
      <c r="D980" s="3" t="s">
        <v>17</v>
      </c>
      <c r="E980" s="3" t="s">
        <v>22</v>
      </c>
      <c r="F980" s="3" t="s">
        <v>30</v>
      </c>
      <c r="G980" s="3" t="s">
        <v>35</v>
      </c>
      <c r="H980" s="3" t="s">
        <v>49</v>
      </c>
      <c r="I980" s="3">
        <v>1138.1099999999999</v>
      </c>
      <c r="J980" s="3">
        <v>2</v>
      </c>
      <c r="K980" s="3">
        <v>-292.3938</v>
      </c>
    </row>
    <row r="981" spans="1:11" ht="15.6" x14ac:dyDescent="0.3">
      <c r="A981" s="7">
        <v>42814</v>
      </c>
      <c r="B981" s="8">
        <f>YEAR(A981)</f>
        <v>2017</v>
      </c>
      <c r="C981" s="8">
        <f>MONTH(A981)</f>
        <v>3</v>
      </c>
      <c r="D981" s="3" t="s">
        <v>18</v>
      </c>
      <c r="E981" s="3" t="s">
        <v>20</v>
      </c>
      <c r="F981" s="3" t="s">
        <v>31</v>
      </c>
      <c r="G981" s="3" t="s">
        <v>38</v>
      </c>
      <c r="H981" s="3" t="s">
        <v>53</v>
      </c>
      <c r="I981" s="3">
        <v>488.29</v>
      </c>
      <c r="J981" s="3">
        <v>7</v>
      </c>
      <c r="K981" s="3">
        <v>-89.290499999999994</v>
      </c>
    </row>
    <row r="982" spans="1:11" ht="15.6" x14ac:dyDescent="0.3">
      <c r="A982" s="7">
        <v>42816</v>
      </c>
      <c r="B982" s="8">
        <f>YEAR(A982)</f>
        <v>2017</v>
      </c>
      <c r="C982" s="8">
        <f>MONTH(A982)</f>
        <v>3</v>
      </c>
      <c r="D982" s="3" t="s">
        <v>18</v>
      </c>
      <c r="E982" s="3" t="s">
        <v>27</v>
      </c>
      <c r="F982" s="3" t="s">
        <v>29</v>
      </c>
      <c r="G982" s="3" t="s">
        <v>32</v>
      </c>
      <c r="H982" s="3" t="s">
        <v>52</v>
      </c>
      <c r="I982" s="3">
        <v>1043.18</v>
      </c>
      <c r="J982" s="3">
        <v>8</v>
      </c>
      <c r="K982" s="3">
        <v>-274.19580000000002</v>
      </c>
    </row>
    <row r="983" spans="1:11" ht="15.6" x14ac:dyDescent="0.3">
      <c r="A983" s="7">
        <v>42818</v>
      </c>
      <c r="B983" s="8">
        <f>YEAR(A983)</f>
        <v>2017</v>
      </c>
      <c r="C983" s="8">
        <f>MONTH(A983)</f>
        <v>3</v>
      </c>
      <c r="D983" s="3" t="s">
        <v>17</v>
      </c>
      <c r="E983" s="3" t="s">
        <v>23</v>
      </c>
      <c r="F983" s="3" t="s">
        <v>30</v>
      </c>
      <c r="G983" s="3" t="s">
        <v>42</v>
      </c>
      <c r="H983" s="3" t="s">
        <v>69</v>
      </c>
      <c r="I983" s="3">
        <v>706.61</v>
      </c>
      <c r="J983" s="3">
        <v>1</v>
      </c>
      <c r="K983" s="3">
        <v>247.08690000000001</v>
      </c>
    </row>
    <row r="984" spans="1:11" ht="15.6" x14ac:dyDescent="0.3">
      <c r="A984" s="7">
        <v>42821</v>
      </c>
      <c r="B984" s="8">
        <f>YEAR(A984)</f>
        <v>2017</v>
      </c>
      <c r="C984" s="8">
        <f>MONTH(A984)</f>
        <v>3</v>
      </c>
      <c r="D984" s="3" t="s">
        <v>17</v>
      </c>
      <c r="E984" s="3" t="s">
        <v>19</v>
      </c>
      <c r="F984" s="3" t="s">
        <v>30</v>
      </c>
      <c r="G984" s="3" t="s">
        <v>42</v>
      </c>
      <c r="H984" s="3" t="s">
        <v>69</v>
      </c>
      <c r="I984" s="3">
        <v>321.26</v>
      </c>
      <c r="J984" s="3">
        <v>4</v>
      </c>
      <c r="K984" s="3">
        <v>56.290900000000001</v>
      </c>
    </row>
    <row r="985" spans="1:11" ht="15.6" x14ac:dyDescent="0.3">
      <c r="A985" s="7">
        <v>42822</v>
      </c>
      <c r="B985" s="8">
        <f>YEAR(A985)</f>
        <v>2017</v>
      </c>
      <c r="C985" s="8">
        <f>MONTH(A985)</f>
        <v>3</v>
      </c>
      <c r="D985" s="3" t="s">
        <v>18</v>
      </c>
      <c r="E985" s="3" t="s">
        <v>21</v>
      </c>
      <c r="F985" s="3" t="s">
        <v>30</v>
      </c>
      <c r="G985" s="3" t="s">
        <v>37</v>
      </c>
      <c r="H985" s="3" t="s">
        <v>64</v>
      </c>
      <c r="I985" s="3">
        <v>1049.1300000000001</v>
      </c>
      <c r="J985" s="3">
        <v>5</v>
      </c>
      <c r="K985" s="3">
        <v>322.62369999999999</v>
      </c>
    </row>
    <row r="986" spans="1:11" ht="15.6" x14ac:dyDescent="0.3">
      <c r="A986" s="7">
        <v>42824</v>
      </c>
      <c r="B986" s="8">
        <f>YEAR(A986)</f>
        <v>2017</v>
      </c>
      <c r="C986" s="8">
        <f>MONTH(A986)</f>
        <v>3</v>
      </c>
      <c r="D986" s="3" t="s">
        <v>13</v>
      </c>
      <c r="E986" s="3" t="s">
        <v>26</v>
      </c>
      <c r="F986" s="3" t="s">
        <v>31</v>
      </c>
      <c r="G986" s="3" t="s">
        <v>38</v>
      </c>
      <c r="H986" s="3" t="s">
        <v>63</v>
      </c>
      <c r="I986" s="3">
        <v>212.51</v>
      </c>
      <c r="J986" s="3">
        <v>3</v>
      </c>
      <c r="K986" s="3">
        <v>-68.499300000000005</v>
      </c>
    </row>
    <row r="987" spans="1:11" ht="15.6" x14ac:dyDescent="0.3">
      <c r="A987" s="7">
        <v>42824</v>
      </c>
      <c r="B987" s="8">
        <f>YEAR(A987)</f>
        <v>2017</v>
      </c>
      <c r="C987" s="8">
        <f>MONTH(A987)</f>
        <v>3</v>
      </c>
      <c r="D987" s="3" t="s">
        <v>10</v>
      </c>
      <c r="E987" s="3" t="s">
        <v>26</v>
      </c>
      <c r="F987" s="3" t="s">
        <v>30</v>
      </c>
      <c r="G987" s="3" t="s">
        <v>42</v>
      </c>
      <c r="H987" s="3" t="s">
        <v>69</v>
      </c>
      <c r="I987" s="3">
        <v>917.08</v>
      </c>
      <c r="J987" s="3">
        <v>9</v>
      </c>
      <c r="K987" s="3">
        <v>-217.57859999999999</v>
      </c>
    </row>
    <row r="988" spans="1:11" ht="15.6" x14ac:dyDescent="0.3">
      <c r="A988" s="7">
        <v>42826</v>
      </c>
      <c r="B988" s="8">
        <f>YEAR(A988)</f>
        <v>2017</v>
      </c>
      <c r="C988" s="8">
        <f>MONTH(A988)</f>
        <v>4</v>
      </c>
      <c r="D988" s="3" t="s">
        <v>13</v>
      </c>
      <c r="E988" s="3" t="s">
        <v>24</v>
      </c>
      <c r="F988" s="3" t="s">
        <v>30</v>
      </c>
      <c r="G988" s="3" t="s">
        <v>37</v>
      </c>
      <c r="H988" s="3" t="s">
        <v>51</v>
      </c>
      <c r="I988" s="3">
        <v>270.77999999999997</v>
      </c>
      <c r="J988" s="3">
        <v>10</v>
      </c>
      <c r="K988" s="3">
        <v>83.857699999999994</v>
      </c>
    </row>
    <row r="989" spans="1:11" ht="15.6" x14ac:dyDescent="0.3">
      <c r="A989" s="7">
        <v>42827</v>
      </c>
      <c r="B989" s="8">
        <f>YEAR(A989)</f>
        <v>2017</v>
      </c>
      <c r="C989" s="8">
        <f>MONTH(A989)</f>
        <v>4</v>
      </c>
      <c r="D989" s="3" t="s">
        <v>11</v>
      </c>
      <c r="E989" s="3" t="s">
        <v>23</v>
      </c>
      <c r="F989" s="3" t="s">
        <v>31</v>
      </c>
      <c r="G989" s="3" t="s">
        <v>43</v>
      </c>
      <c r="H989" s="3" t="s">
        <v>68</v>
      </c>
      <c r="I989" s="3">
        <v>729.96</v>
      </c>
      <c r="J989" s="3">
        <v>6</v>
      </c>
      <c r="K989" s="3">
        <v>-37.416899999999998</v>
      </c>
    </row>
    <row r="990" spans="1:11" ht="15.6" x14ac:dyDescent="0.3">
      <c r="A990" s="7">
        <v>42829</v>
      </c>
      <c r="B990" s="8">
        <f>YEAR(A990)</f>
        <v>2017</v>
      </c>
      <c r="C990" s="8">
        <f>MONTH(A990)</f>
        <v>4</v>
      </c>
      <c r="D990" s="3" t="s">
        <v>9</v>
      </c>
      <c r="E990" s="3" t="s">
        <v>23</v>
      </c>
      <c r="F990" s="3" t="s">
        <v>30</v>
      </c>
      <c r="G990" s="3" t="s">
        <v>35</v>
      </c>
      <c r="H990" s="3" t="s">
        <v>59</v>
      </c>
      <c r="I990" s="3">
        <v>587.19000000000005</v>
      </c>
      <c r="J990" s="3">
        <v>6</v>
      </c>
      <c r="K990" s="3">
        <v>-77.594899999999996</v>
      </c>
    </row>
    <row r="991" spans="1:11" ht="15.6" x14ac:dyDescent="0.3">
      <c r="A991" s="7">
        <v>42831</v>
      </c>
      <c r="B991" s="8">
        <f>YEAR(A991)</f>
        <v>2017</v>
      </c>
      <c r="C991" s="8">
        <f>MONTH(A991)</f>
        <v>4</v>
      </c>
      <c r="D991" s="3" t="s">
        <v>17</v>
      </c>
      <c r="E991" s="3" t="s">
        <v>19</v>
      </c>
      <c r="F991" s="3" t="s">
        <v>31</v>
      </c>
      <c r="G991" s="3" t="s">
        <v>34</v>
      </c>
      <c r="H991" s="3" t="s">
        <v>46</v>
      </c>
      <c r="I991" s="3">
        <v>680.89</v>
      </c>
      <c r="J991" s="3">
        <v>9</v>
      </c>
      <c r="K991" s="3">
        <v>158.90049999999999</v>
      </c>
    </row>
    <row r="992" spans="1:11" ht="15.6" x14ac:dyDescent="0.3">
      <c r="A992" s="7">
        <v>42834</v>
      </c>
      <c r="B992" s="8">
        <f>YEAR(A992)</f>
        <v>2017</v>
      </c>
      <c r="C992" s="8">
        <f>MONTH(A992)</f>
        <v>4</v>
      </c>
      <c r="D992" s="3" t="s">
        <v>16</v>
      </c>
      <c r="E992" s="3" t="s">
        <v>22</v>
      </c>
      <c r="F992" s="3" t="s">
        <v>31</v>
      </c>
      <c r="G992" s="3" t="s">
        <v>36</v>
      </c>
      <c r="H992" s="3" t="s">
        <v>70</v>
      </c>
      <c r="I992" s="3">
        <v>851.14</v>
      </c>
      <c r="J992" s="3">
        <v>10</v>
      </c>
      <c r="K992" s="3">
        <v>180.4511</v>
      </c>
    </row>
    <row r="993" spans="1:11" ht="15.6" x14ac:dyDescent="0.3">
      <c r="A993" s="7">
        <v>42835</v>
      </c>
      <c r="B993" s="8">
        <f>YEAR(A993)</f>
        <v>2017</v>
      </c>
      <c r="C993" s="8">
        <f>MONTH(A993)</f>
        <v>4</v>
      </c>
      <c r="D993" s="3" t="s">
        <v>10</v>
      </c>
      <c r="E993" s="3" t="s">
        <v>21</v>
      </c>
      <c r="F993" s="3" t="s">
        <v>31</v>
      </c>
      <c r="G993" s="3" t="s">
        <v>38</v>
      </c>
      <c r="H993" s="3" t="s">
        <v>53</v>
      </c>
      <c r="I993" s="3">
        <v>482.28</v>
      </c>
      <c r="J993" s="3">
        <v>4</v>
      </c>
      <c r="K993" s="3">
        <v>167.83070000000001</v>
      </c>
    </row>
    <row r="994" spans="1:11" ht="15.6" x14ac:dyDescent="0.3">
      <c r="A994" s="7">
        <v>42835</v>
      </c>
      <c r="B994" s="8">
        <f>YEAR(A994)</f>
        <v>2017</v>
      </c>
      <c r="C994" s="8">
        <f>MONTH(A994)</f>
        <v>4</v>
      </c>
      <c r="D994" s="3" t="s">
        <v>17</v>
      </c>
      <c r="E994" s="3" t="s">
        <v>19</v>
      </c>
      <c r="F994" s="3" t="s">
        <v>29</v>
      </c>
      <c r="G994" s="3" t="s">
        <v>41</v>
      </c>
      <c r="H994" s="3" t="s">
        <v>65</v>
      </c>
      <c r="I994" s="3">
        <v>680.45</v>
      </c>
      <c r="J994" s="3">
        <v>6</v>
      </c>
      <c r="K994" s="3">
        <v>204.8357</v>
      </c>
    </row>
    <row r="995" spans="1:11" ht="15.6" x14ac:dyDescent="0.3">
      <c r="A995" s="7">
        <v>42835</v>
      </c>
      <c r="B995" s="8">
        <f>YEAR(A995)</f>
        <v>2017</v>
      </c>
      <c r="C995" s="8">
        <f>MONTH(A995)</f>
        <v>4</v>
      </c>
      <c r="D995" s="3" t="s">
        <v>11</v>
      </c>
      <c r="E995" s="3" t="s">
        <v>27</v>
      </c>
      <c r="F995" s="3" t="s">
        <v>31</v>
      </c>
      <c r="G995" s="3" t="s">
        <v>39</v>
      </c>
      <c r="H995" s="3" t="s">
        <v>71</v>
      </c>
      <c r="I995" s="3">
        <v>372.68</v>
      </c>
      <c r="J995" s="3">
        <v>1</v>
      </c>
      <c r="K995" s="3">
        <v>17.770199999999999</v>
      </c>
    </row>
    <row r="996" spans="1:11" ht="15.6" x14ac:dyDescent="0.3">
      <c r="A996" s="7">
        <v>42835</v>
      </c>
      <c r="B996" s="8">
        <f>YEAR(A996)</f>
        <v>2017</v>
      </c>
      <c r="C996" s="8">
        <f>MONTH(A996)</f>
        <v>4</v>
      </c>
      <c r="D996" s="3" t="s">
        <v>16</v>
      </c>
      <c r="E996" s="3" t="s">
        <v>26</v>
      </c>
      <c r="F996" s="3" t="s">
        <v>29</v>
      </c>
      <c r="G996" s="3" t="s">
        <v>41</v>
      </c>
      <c r="H996" s="3" t="s">
        <v>57</v>
      </c>
      <c r="I996" s="3">
        <v>579.14</v>
      </c>
      <c r="J996" s="3">
        <v>9</v>
      </c>
      <c r="K996" s="3">
        <v>41.564300000000003</v>
      </c>
    </row>
    <row r="997" spans="1:11" ht="15.6" x14ac:dyDescent="0.3">
      <c r="A997" s="7">
        <v>42835</v>
      </c>
      <c r="B997" s="8">
        <f>YEAR(A997)</f>
        <v>2017</v>
      </c>
      <c r="C997" s="8">
        <f>MONTH(A997)</f>
        <v>4</v>
      </c>
      <c r="D997" s="3" t="s">
        <v>16</v>
      </c>
      <c r="E997" s="3" t="s">
        <v>25</v>
      </c>
      <c r="F997" s="3" t="s">
        <v>29</v>
      </c>
      <c r="G997" s="3" t="s">
        <v>32</v>
      </c>
      <c r="H997" s="3" t="s">
        <v>48</v>
      </c>
      <c r="I997" s="3">
        <v>34.17</v>
      </c>
      <c r="J997" s="3">
        <v>8</v>
      </c>
      <c r="K997" s="3">
        <v>-1.7829999999999999</v>
      </c>
    </row>
    <row r="998" spans="1:11" ht="15.6" x14ac:dyDescent="0.3">
      <c r="A998" s="7">
        <v>42835</v>
      </c>
      <c r="B998" s="8">
        <f>YEAR(A998)</f>
        <v>2017</v>
      </c>
      <c r="C998" s="8">
        <f>MONTH(A998)</f>
        <v>4</v>
      </c>
      <c r="D998" s="3" t="s">
        <v>16</v>
      </c>
      <c r="E998" s="3" t="s">
        <v>28</v>
      </c>
      <c r="F998" s="3" t="s">
        <v>29</v>
      </c>
      <c r="G998" s="3" t="s">
        <v>32</v>
      </c>
      <c r="H998" s="3" t="s">
        <v>44</v>
      </c>
      <c r="I998" s="3">
        <v>54.17</v>
      </c>
      <c r="J998" s="3">
        <v>9</v>
      </c>
      <c r="K998" s="3">
        <v>3.5668000000000002</v>
      </c>
    </row>
    <row r="999" spans="1:11" ht="15.6" x14ac:dyDescent="0.3">
      <c r="A999" s="7">
        <v>42839</v>
      </c>
      <c r="B999" s="8">
        <f>YEAR(A999)</f>
        <v>2017</v>
      </c>
      <c r="C999" s="8">
        <f>MONTH(A999)</f>
        <v>4</v>
      </c>
      <c r="D999" s="3" t="s">
        <v>15</v>
      </c>
      <c r="E999" s="3" t="s">
        <v>21</v>
      </c>
      <c r="F999" s="3" t="s">
        <v>31</v>
      </c>
      <c r="G999" s="3" t="s">
        <v>36</v>
      </c>
      <c r="H999" s="3" t="s">
        <v>70</v>
      </c>
      <c r="I999" s="3">
        <v>794.5</v>
      </c>
      <c r="J999" s="3">
        <v>2</v>
      </c>
      <c r="K999" s="3">
        <v>142.31530000000001</v>
      </c>
    </row>
    <row r="1000" spans="1:11" ht="15.6" x14ac:dyDescent="0.3">
      <c r="A1000" s="7">
        <v>42839</v>
      </c>
      <c r="B1000" s="8">
        <f>YEAR(A1000)</f>
        <v>2017</v>
      </c>
      <c r="C1000" s="8">
        <f>MONTH(A1000)</f>
        <v>4</v>
      </c>
      <c r="D1000" s="3" t="s">
        <v>9</v>
      </c>
      <c r="E1000" s="3" t="s">
        <v>21</v>
      </c>
      <c r="F1000" s="3" t="s">
        <v>30</v>
      </c>
      <c r="G1000" s="3" t="s">
        <v>42</v>
      </c>
      <c r="H1000" s="3" t="s">
        <v>58</v>
      </c>
      <c r="I1000" s="3">
        <v>59.39</v>
      </c>
      <c r="J1000" s="3">
        <v>2</v>
      </c>
      <c r="K1000" s="3">
        <v>-7.8231000000000002</v>
      </c>
    </row>
    <row r="1001" spans="1:11" ht="15.6" x14ac:dyDescent="0.3">
      <c r="A1001" s="7">
        <v>42840</v>
      </c>
      <c r="B1001" s="8">
        <f>YEAR(A1001)</f>
        <v>2017</v>
      </c>
      <c r="C1001" s="8">
        <f>MONTH(A1001)</f>
        <v>4</v>
      </c>
      <c r="D1001" s="3" t="s">
        <v>16</v>
      </c>
      <c r="E1001" s="3" t="s">
        <v>22</v>
      </c>
      <c r="F1001" s="3" t="s">
        <v>31</v>
      </c>
      <c r="G1001" s="3" t="s">
        <v>36</v>
      </c>
      <c r="H1001" s="3" t="s">
        <v>50</v>
      </c>
      <c r="I1001" s="3">
        <v>244.37</v>
      </c>
      <c r="J1001" s="3">
        <v>1</v>
      </c>
      <c r="K1001" s="3">
        <v>37.313899999999997</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58CD-4A97-4DD6-B199-0CB373C58E3A}">
  <dimension ref="A1:G41"/>
  <sheetViews>
    <sheetView topLeftCell="A7" workbookViewId="0">
      <selection activeCell="H27" sqref="H27"/>
    </sheetView>
  </sheetViews>
  <sheetFormatPr defaultRowHeight="14.4" x14ac:dyDescent="0.3"/>
  <cols>
    <col min="1" max="1" width="20.33203125" style="6" customWidth="1"/>
    <col min="2" max="2" width="19.109375" bestFit="1" customWidth="1"/>
    <col min="6" max="6" width="12.5546875" bestFit="1" customWidth="1"/>
    <col min="7" max="7" width="22.6640625" bestFit="1" customWidth="1"/>
  </cols>
  <sheetData>
    <row r="1" spans="1:7" ht="15.6" x14ac:dyDescent="0.3">
      <c r="A1" s="5" t="s">
        <v>76</v>
      </c>
      <c r="B1" s="2" t="s">
        <v>1</v>
      </c>
    </row>
    <row r="2" spans="1:7" ht="15.6" x14ac:dyDescent="0.3">
      <c r="A2" s="8">
        <v>2014</v>
      </c>
      <c r="B2" s="3" t="s">
        <v>16</v>
      </c>
    </row>
    <row r="3" spans="1:7" ht="15.6" x14ac:dyDescent="0.3">
      <c r="A3" s="8">
        <v>2014</v>
      </c>
      <c r="B3" s="3" t="s">
        <v>14</v>
      </c>
    </row>
    <row r="4" spans="1:7" ht="15.6" x14ac:dyDescent="0.3">
      <c r="A4" s="8">
        <v>2014</v>
      </c>
      <c r="B4" s="3" t="s">
        <v>12</v>
      </c>
    </row>
    <row r="5" spans="1:7" ht="15.6" x14ac:dyDescent="0.3">
      <c r="A5" s="8">
        <v>2014</v>
      </c>
      <c r="B5" s="3" t="s">
        <v>18</v>
      </c>
    </row>
    <row r="6" spans="1:7" ht="15.6" x14ac:dyDescent="0.3">
      <c r="A6" s="8">
        <v>2014</v>
      </c>
      <c r="B6" s="3" t="s">
        <v>10</v>
      </c>
      <c r="F6" s="9" t="s">
        <v>73</v>
      </c>
      <c r="G6" t="s">
        <v>79</v>
      </c>
    </row>
    <row r="7" spans="1:7" ht="15.6" x14ac:dyDescent="0.3">
      <c r="A7" s="8">
        <v>2014</v>
      </c>
      <c r="B7" s="3" t="s">
        <v>11</v>
      </c>
      <c r="F7" s="13">
        <v>2014</v>
      </c>
      <c r="G7" s="11">
        <v>10</v>
      </c>
    </row>
    <row r="8" spans="1:7" ht="15.6" x14ac:dyDescent="0.3">
      <c r="A8" s="8">
        <v>2014</v>
      </c>
      <c r="B8" s="3" t="s">
        <v>17</v>
      </c>
      <c r="F8" s="13">
        <v>2015</v>
      </c>
      <c r="G8" s="11">
        <v>10</v>
      </c>
    </row>
    <row r="9" spans="1:7" ht="15.6" x14ac:dyDescent="0.3">
      <c r="A9" s="8">
        <v>2014</v>
      </c>
      <c r="B9" s="3" t="s">
        <v>13</v>
      </c>
      <c r="F9" s="13">
        <v>2016</v>
      </c>
      <c r="G9" s="11">
        <v>10</v>
      </c>
    </row>
    <row r="10" spans="1:7" ht="15.6" x14ac:dyDescent="0.3">
      <c r="A10" s="8">
        <v>2014</v>
      </c>
      <c r="B10" s="3" t="s">
        <v>9</v>
      </c>
      <c r="F10" s="13">
        <v>2017</v>
      </c>
      <c r="G10" s="11">
        <v>10</v>
      </c>
    </row>
    <row r="11" spans="1:7" ht="15.6" x14ac:dyDescent="0.3">
      <c r="A11" s="8">
        <v>2014</v>
      </c>
      <c r="B11" s="3" t="s">
        <v>15</v>
      </c>
    </row>
    <row r="12" spans="1:7" ht="15.6" x14ac:dyDescent="0.3">
      <c r="A12" s="8">
        <v>2015</v>
      </c>
      <c r="B12" s="3" t="s">
        <v>10</v>
      </c>
    </row>
    <row r="13" spans="1:7" ht="15.6" x14ac:dyDescent="0.3">
      <c r="A13" s="8">
        <v>2015</v>
      </c>
      <c r="B13" s="3" t="s">
        <v>16</v>
      </c>
    </row>
    <row r="14" spans="1:7" ht="15.6" x14ac:dyDescent="0.3">
      <c r="A14" s="8">
        <v>2015</v>
      </c>
      <c r="B14" s="3" t="s">
        <v>13</v>
      </c>
    </row>
    <row r="15" spans="1:7" ht="15.6" x14ac:dyDescent="0.3">
      <c r="A15" s="8">
        <v>2015</v>
      </c>
      <c r="B15" s="3" t="s">
        <v>17</v>
      </c>
    </row>
    <row r="16" spans="1:7" ht="15.6" x14ac:dyDescent="0.3">
      <c r="A16" s="8">
        <v>2015</v>
      </c>
      <c r="B16" s="3" t="s">
        <v>15</v>
      </c>
    </row>
    <row r="17" spans="1:2" ht="15.6" x14ac:dyDescent="0.3">
      <c r="A17" s="8">
        <v>2015</v>
      </c>
      <c r="B17" s="3" t="s">
        <v>14</v>
      </c>
    </row>
    <row r="18" spans="1:2" ht="15.6" x14ac:dyDescent="0.3">
      <c r="A18" s="8">
        <v>2015</v>
      </c>
      <c r="B18" s="3" t="s">
        <v>11</v>
      </c>
    </row>
    <row r="19" spans="1:2" ht="15.6" x14ac:dyDescent="0.3">
      <c r="A19" s="8">
        <v>2015</v>
      </c>
      <c r="B19" s="3" t="s">
        <v>18</v>
      </c>
    </row>
    <row r="20" spans="1:2" ht="15.6" x14ac:dyDescent="0.3">
      <c r="A20" s="8">
        <v>2015</v>
      </c>
      <c r="B20" s="3" t="s">
        <v>12</v>
      </c>
    </row>
    <row r="21" spans="1:2" ht="15.6" x14ac:dyDescent="0.3">
      <c r="A21" s="8">
        <v>2015</v>
      </c>
      <c r="B21" s="3" t="s">
        <v>9</v>
      </c>
    </row>
    <row r="22" spans="1:2" ht="15.6" x14ac:dyDescent="0.3">
      <c r="A22" s="8">
        <v>2016</v>
      </c>
      <c r="B22" s="3" t="s">
        <v>15</v>
      </c>
    </row>
    <row r="23" spans="1:2" ht="15.6" x14ac:dyDescent="0.3">
      <c r="A23" s="8">
        <v>2016</v>
      </c>
      <c r="B23" s="3" t="s">
        <v>18</v>
      </c>
    </row>
    <row r="24" spans="1:2" ht="15.6" x14ac:dyDescent="0.3">
      <c r="A24" s="8">
        <v>2016</v>
      </c>
      <c r="B24" s="3" t="s">
        <v>13</v>
      </c>
    </row>
    <row r="25" spans="1:2" ht="15.6" x14ac:dyDescent="0.3">
      <c r="A25" s="8">
        <v>2016</v>
      </c>
      <c r="B25" s="3" t="s">
        <v>17</v>
      </c>
    </row>
    <row r="26" spans="1:2" ht="15.6" x14ac:dyDescent="0.3">
      <c r="A26" s="8">
        <v>2016</v>
      </c>
      <c r="B26" s="3" t="s">
        <v>10</v>
      </c>
    </row>
    <row r="27" spans="1:2" ht="15.6" x14ac:dyDescent="0.3">
      <c r="A27" s="8">
        <v>2016</v>
      </c>
      <c r="B27" s="3" t="s">
        <v>9</v>
      </c>
    </row>
    <row r="28" spans="1:2" ht="15.6" x14ac:dyDescent="0.3">
      <c r="A28" s="8">
        <v>2016</v>
      </c>
      <c r="B28" s="3" t="s">
        <v>11</v>
      </c>
    </row>
    <row r="29" spans="1:2" ht="15.6" x14ac:dyDescent="0.3">
      <c r="A29" s="8">
        <v>2016</v>
      </c>
      <c r="B29" s="3" t="s">
        <v>14</v>
      </c>
    </row>
    <row r="30" spans="1:2" ht="15.6" x14ac:dyDescent="0.3">
      <c r="A30" s="8">
        <v>2016</v>
      </c>
      <c r="B30" s="3" t="s">
        <v>12</v>
      </c>
    </row>
    <row r="31" spans="1:2" ht="15.6" x14ac:dyDescent="0.3">
      <c r="A31" s="8">
        <v>2016</v>
      </c>
      <c r="B31" s="3" t="s">
        <v>16</v>
      </c>
    </row>
    <row r="32" spans="1:2" ht="15.6" x14ac:dyDescent="0.3">
      <c r="A32" s="8">
        <v>2017</v>
      </c>
      <c r="B32" s="3" t="s">
        <v>17</v>
      </c>
    </row>
    <row r="33" spans="1:2" ht="15.6" x14ac:dyDescent="0.3">
      <c r="A33" s="8">
        <v>2017</v>
      </c>
      <c r="B33" s="3" t="s">
        <v>13</v>
      </c>
    </row>
    <row r="34" spans="1:2" ht="15.6" x14ac:dyDescent="0.3">
      <c r="A34" s="8">
        <v>2017</v>
      </c>
      <c r="B34" s="3" t="s">
        <v>11</v>
      </c>
    </row>
    <row r="35" spans="1:2" ht="15.6" x14ac:dyDescent="0.3">
      <c r="A35" s="8">
        <v>2017</v>
      </c>
      <c r="B35" s="3" t="s">
        <v>14</v>
      </c>
    </row>
    <row r="36" spans="1:2" ht="15.6" x14ac:dyDescent="0.3">
      <c r="A36" s="8">
        <v>2017</v>
      </c>
      <c r="B36" s="3" t="s">
        <v>10</v>
      </c>
    </row>
    <row r="37" spans="1:2" ht="15.6" x14ac:dyDescent="0.3">
      <c r="A37" s="8">
        <v>2017</v>
      </c>
      <c r="B37" s="3" t="s">
        <v>16</v>
      </c>
    </row>
    <row r="38" spans="1:2" ht="15.6" x14ac:dyDescent="0.3">
      <c r="A38" s="8">
        <v>2017</v>
      </c>
      <c r="B38" s="3" t="s">
        <v>12</v>
      </c>
    </row>
    <row r="39" spans="1:2" ht="15.6" x14ac:dyDescent="0.3">
      <c r="A39" s="8">
        <v>2017</v>
      </c>
      <c r="B39" s="3" t="s">
        <v>9</v>
      </c>
    </row>
    <row r="40" spans="1:2" ht="15.6" x14ac:dyDescent="0.3">
      <c r="A40" s="8">
        <v>2017</v>
      </c>
      <c r="B40" s="3" t="s">
        <v>18</v>
      </c>
    </row>
    <row r="41" spans="1:2" ht="15.6" x14ac:dyDescent="0.3">
      <c r="A41" s="8">
        <v>2017</v>
      </c>
      <c r="B41" s="3" t="s">
        <v>15</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973D-CD9E-4D95-8462-5BB863FECBB8}">
  <dimension ref="A1"/>
  <sheetViews>
    <sheetView showGridLines="0" showRowColHeaders="0" tabSelected="1" workbookViewId="0">
      <selection activeCell="X19" sqref="X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Sales By Year</vt:lpstr>
      <vt:lpstr>Sales By Month</vt:lpstr>
      <vt:lpstr>Top 3 customer</vt:lpstr>
      <vt:lpstr>Map Chart</vt:lpstr>
      <vt:lpstr>Main shhet</vt:lpstr>
      <vt:lpstr>Customer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Sagar Chaudhuri</cp:lastModifiedBy>
  <dcterms:created xsi:type="dcterms:W3CDTF">2026-01-29T08:35:15Z</dcterms:created>
  <dcterms:modified xsi:type="dcterms:W3CDTF">2026-01-29T19:51:30Z</dcterms:modified>
</cp:coreProperties>
</file>